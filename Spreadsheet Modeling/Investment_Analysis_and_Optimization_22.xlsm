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7AA9133B-0738-3967-A58A-2178011A57A6}"/>
  <workbookPr codeName="ThisWorkbook"/>
  <mc:AlternateContent xmlns:mc="http://schemas.openxmlformats.org/markup-compatibility/2006">
    <mc:Choice Requires="x15">
      <x15ac:absPath xmlns:x15ac="http://schemas.microsoft.com/office/spreadsheetml/2010/11/ac" url="https://d.docs.live.net/9d12cd874a8c68b7/Desktop/Github Portfolio/Spreadsheet Modeling/"/>
    </mc:Choice>
  </mc:AlternateContent>
  <xr:revisionPtr revIDLastSave="0" documentId="8_{F33D574E-8E93-4B36-BCF8-0751753D07FF}" xr6:coauthVersionLast="47" xr6:coauthVersionMax="47" xr10:uidLastSave="{00000000-0000-0000-0000-000000000000}"/>
  <bookViews>
    <workbookView xWindow="-110" yWindow="-110" windowWidth="19420" windowHeight="10300" xr2:uid="{00000000-000D-0000-FFFF-FFFF00000000}"/>
  </bookViews>
  <sheets>
    <sheet name="Problem Statement" sheetId="10" r:id="rId1"/>
    <sheet name="Correlation" sheetId="16" r:id="rId2"/>
    <sheet name="Data" sheetId="5" r:id="rId3"/>
    <sheet name="Optimizer" sheetId="11" r:id="rId4"/>
  </sheets>
  <definedNames>
    <definedName name="_10YRT.Bond">Data!$E$2:$E$50</definedName>
    <definedName name="_3MO_T.Bill">Data!$D$2:$D$50</definedName>
    <definedName name="_xlnm._FilterDatabase" localSheetId="2" hidden="1">Data!$A$1:$X$1</definedName>
    <definedName name="ABT">Data!$Q$2:$Q$50</definedName>
    <definedName name="ADI">Data!$U$2:$U$50</definedName>
    <definedName name="APPLE">Data!$X$2:$X$50</definedName>
    <definedName name="Bitcoin">Data!$Y$2:$Y$50</definedName>
    <definedName name="CATTLE">Data!$G$2:$G$50</definedName>
    <definedName name="CORN">Data!$F$2:$F$50</definedName>
    <definedName name="CRUDE">Data!$I$2:$I$50</definedName>
    <definedName name="DIS">Data!$O$2:$O$50</definedName>
    <definedName name="FORD">Data!$S$2:$S$50</definedName>
    <definedName name="GE">Data!$P$2:$P$50</definedName>
    <definedName name="GOLD">Data!$H$2:$H$50</definedName>
    <definedName name="INTC">Data!$T$2:$T$50</definedName>
    <definedName name="JPM">Data!$V$2:$V$50</definedName>
    <definedName name="KO">Data!$M$2:$M$50</definedName>
    <definedName name="MCD">Data!$L$2:$L$50</definedName>
    <definedName name="MSFT">Data!$W$2:$W$50</definedName>
    <definedName name="NSDQ">Data!$C$2:$C$50</definedName>
    <definedName name="OGE">Data!$K$2:$K$50</definedName>
    <definedName name="PG">Data!$N$2:$N$50</definedName>
    <definedName name="S_P500">Data!$B$2:$B$50</definedName>
    <definedName name="solver_adj" localSheetId="3" hidden="1">Optimizer!$D$25:$Y$25</definedName>
    <definedName name="solver_cvg" localSheetId="3" hidden="1">0.0001</definedName>
    <definedName name="solver_drv" localSheetId="3" hidden="1">1</definedName>
    <definedName name="solver_eng" localSheetId="2" hidden="1">1</definedName>
    <definedName name="solver_eng" localSheetId="3" hidden="1">1</definedName>
    <definedName name="solver_eng" localSheetId="0" hidden="1">1</definedName>
    <definedName name="solver_est" localSheetId="3" hidden="1">1</definedName>
    <definedName name="solver_itr" localSheetId="3" hidden="1">2147483647</definedName>
    <definedName name="solver_lhs1" localSheetId="3" hidden="1">Optimizer!$AA$22</definedName>
    <definedName name="solver_lhs2" localSheetId="3" hidden="1">Optimizer!$D$30</definedName>
    <definedName name="solver_lhs3" localSheetId="3" hidden="1">Optimizer!$D$32</definedName>
    <definedName name="solver_lhs4" localSheetId="3" hidden="1">Optimizer!$U$25</definedName>
    <definedName name="solver_lin" localSheetId="3" hidden="1">2</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2" hidden="1">1</definedName>
    <definedName name="solver_neg" localSheetId="3" hidden="1">1</definedName>
    <definedName name="solver_neg" localSheetId="0" hidden="1">1</definedName>
    <definedName name="solver_nod" localSheetId="3" hidden="1">2147483647</definedName>
    <definedName name="solver_num" localSheetId="2" hidden="1">0</definedName>
    <definedName name="solver_num" localSheetId="3" hidden="1">3</definedName>
    <definedName name="solver_num" localSheetId="0" hidden="1">0</definedName>
    <definedName name="solver_nwt" localSheetId="3" hidden="1">1</definedName>
    <definedName name="solver_opt" localSheetId="3" hidden="1">Optimizer!$H$34</definedName>
    <definedName name="solver_opt" localSheetId="0" hidden="1">'Problem Statement'!$A$1</definedName>
    <definedName name="solver_pre" localSheetId="3" hidden="1">0.0000001</definedName>
    <definedName name="solver_rbv" localSheetId="3" hidden="1">1</definedName>
    <definedName name="solver_rel1" localSheetId="3" hidden="1">3</definedName>
    <definedName name="solver_rel2" localSheetId="3" hidden="1">2</definedName>
    <definedName name="solver_rel3" localSheetId="3" hidden="1">3</definedName>
    <definedName name="solver_rel4" localSheetId="3" hidden="1">3</definedName>
    <definedName name="solver_rhs1" localSheetId="3" hidden="1">0.2</definedName>
    <definedName name="solver_rhs2" localSheetId="3" hidden="1">1</definedName>
    <definedName name="solver_rhs3" localSheetId="3" hidden="1">0.4</definedName>
    <definedName name="solver_rhs4" localSheetId="3" hidden="1">Optimizer!$AA$25</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2" hidden="1">1</definedName>
    <definedName name="solver_typ" localSheetId="3" hidden="1">2</definedName>
    <definedName name="solver_typ" localSheetId="0" hidden="1">1</definedName>
    <definedName name="solver_val" localSheetId="2" hidden="1">0</definedName>
    <definedName name="solver_val" localSheetId="3" hidden="1">0</definedName>
    <definedName name="solver_val" localSheetId="0" hidden="1">0</definedName>
    <definedName name="solver_ver" localSheetId="2" hidden="1">3</definedName>
    <definedName name="solver_ver" localSheetId="3" hidden="1">2</definedName>
    <definedName name="solver_ver" localSheetId="0" hidden="1">3</definedName>
    <definedName name="WMT">Data!$R$2:$R$50</definedName>
    <definedName name="XOM">Data!$J$2:$J$50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22" i="11" l="1"/>
  <c r="AD38" i="11"/>
  <c r="D2" i="11"/>
  <c r="AD39" i="11" l="1"/>
  <c r="AD40" i="11"/>
  <c r="AD41" i="11"/>
  <c r="AD42" i="11"/>
  <c r="AD43" i="11"/>
  <c r="AD44" i="11"/>
  <c r="AD45" i="11"/>
  <c r="D30" i="11"/>
  <c r="X9" i="11"/>
  <c r="W19" i="11"/>
  <c r="F27" i="11"/>
  <c r="J23" i="11"/>
  <c r="I3" i="11"/>
  <c r="W8" i="11"/>
  <c r="L7" i="11"/>
  <c r="O3" i="11"/>
  <c r="U13" i="11"/>
  <c r="I13" i="11"/>
  <c r="X6" i="11"/>
  <c r="N22" i="11"/>
  <c r="F28" i="11"/>
  <c r="T15" i="11"/>
  <c r="P14" i="11"/>
  <c r="E27" i="11"/>
  <c r="S7" i="11"/>
  <c r="M16" i="11"/>
  <c r="L10" i="11"/>
  <c r="X10" i="11"/>
  <c r="L6" i="11"/>
  <c r="K9" i="11"/>
  <c r="T6" i="11"/>
  <c r="Q23" i="11"/>
  <c r="O7" i="11"/>
  <c r="R14" i="11"/>
  <c r="X23" i="11"/>
  <c r="Y13" i="11"/>
  <c r="P10" i="11"/>
  <c r="E16" i="11"/>
  <c r="M27" i="11"/>
  <c r="F22" i="11"/>
  <c r="K19" i="11"/>
  <c r="G10" i="11"/>
  <c r="M8" i="11"/>
  <c r="O14" i="11"/>
  <c r="F7" i="11"/>
  <c r="O8" i="11"/>
  <c r="T3" i="11"/>
  <c r="R21" i="11"/>
  <c r="D11" i="11"/>
  <c r="S16" i="11"/>
  <c r="R28" i="11"/>
  <c r="M19" i="11"/>
  <c r="V22" i="11"/>
  <c r="L15" i="11"/>
  <c r="O10" i="11"/>
  <c r="G15" i="11"/>
  <c r="I16" i="11"/>
  <c r="F12" i="11"/>
  <c r="T18" i="11"/>
  <c r="P3" i="11"/>
  <c r="D21" i="11"/>
  <c r="V27" i="11"/>
  <c r="J11" i="11"/>
  <c r="M6" i="11"/>
  <c r="I17" i="11"/>
  <c r="T19" i="11"/>
  <c r="X13" i="11"/>
  <c r="X12" i="11"/>
  <c r="J10" i="11"/>
  <c r="P17" i="11"/>
  <c r="T10" i="11"/>
  <c r="I5" i="11"/>
  <c r="V21" i="11"/>
  <c r="V3" i="11"/>
  <c r="G8" i="11"/>
  <c r="U9" i="11"/>
  <c r="R6" i="11"/>
  <c r="H28" i="11"/>
  <c r="D14" i="11"/>
  <c r="T21" i="11"/>
  <c r="E3" i="11"/>
  <c r="Y8" i="11"/>
  <c r="S22" i="11"/>
  <c r="E17" i="11"/>
  <c r="M14" i="11"/>
  <c r="X18" i="11"/>
  <c r="E13" i="11"/>
  <c r="Y2" i="11"/>
  <c r="K27" i="11"/>
  <c r="J8" i="11"/>
  <c r="U3" i="11"/>
  <c r="Q13" i="11"/>
  <c r="M11" i="11"/>
  <c r="U15" i="11"/>
  <c r="H23" i="11"/>
  <c r="U12" i="11"/>
  <c r="Y4" i="11"/>
  <c r="D4" i="11"/>
  <c r="L13" i="11"/>
  <c r="H5" i="11"/>
  <c r="H19" i="11"/>
  <c r="P12" i="11"/>
  <c r="W23" i="11"/>
  <c r="P23" i="11"/>
  <c r="L19" i="11"/>
  <c r="V2" i="11"/>
  <c r="G6" i="11"/>
  <c r="M15" i="11"/>
  <c r="V28" i="11"/>
  <c r="R22" i="11"/>
  <c r="I2" i="11"/>
  <c r="O13" i="11"/>
  <c r="Y16" i="11"/>
  <c r="P6" i="11"/>
  <c r="J21" i="11"/>
  <c r="P22" i="11"/>
  <c r="L14" i="11"/>
  <c r="T17" i="11"/>
  <c r="I15" i="11"/>
  <c r="G2" i="11"/>
  <c r="T20" i="11"/>
  <c r="J16" i="11"/>
  <c r="Q4" i="11"/>
  <c r="U27" i="11"/>
  <c r="D22" i="11"/>
  <c r="V19" i="11"/>
  <c r="S13" i="11"/>
  <c r="Y12" i="11"/>
  <c r="M20" i="11"/>
  <c r="S11" i="11"/>
  <c r="D18" i="11"/>
  <c r="Y10" i="11"/>
  <c r="E20" i="11"/>
  <c r="S12" i="11"/>
  <c r="O18" i="11"/>
  <c r="E11" i="11"/>
  <c r="O5" i="11"/>
  <c r="S5" i="11"/>
  <c r="N12" i="11"/>
  <c r="S17" i="11"/>
  <c r="E19" i="11"/>
  <c r="L9" i="11"/>
  <c r="G21" i="11"/>
  <c r="S6" i="11"/>
  <c r="X2" i="11"/>
  <c r="I14" i="11"/>
  <c r="N15" i="11"/>
  <c r="D16" i="11"/>
  <c r="K3" i="11"/>
  <c r="G19" i="11"/>
  <c r="I7" i="11"/>
  <c r="E8" i="11"/>
  <c r="K4" i="11"/>
  <c r="F21" i="11"/>
  <c r="U11" i="11"/>
  <c r="L3" i="11"/>
  <c r="X27" i="11"/>
  <c r="T5" i="11"/>
  <c r="G14" i="11"/>
  <c r="U17" i="11"/>
  <c r="E15" i="11"/>
  <c r="Q2" i="11"/>
  <c r="Y22" i="11"/>
  <c r="G23" i="11"/>
  <c r="X16" i="11"/>
  <c r="K13" i="11"/>
  <c r="I22" i="11"/>
  <c r="F2" i="11"/>
  <c r="N9" i="11"/>
  <c r="N14" i="11"/>
  <c r="J27" i="11"/>
  <c r="K2" i="11"/>
  <c r="G16" i="11"/>
  <c r="W5" i="11"/>
  <c r="I12" i="11"/>
  <c r="D19" i="11"/>
  <c r="O22" i="11"/>
  <c r="V7" i="11"/>
  <c r="R20" i="11"/>
  <c r="F17" i="11"/>
  <c r="D8" i="11"/>
  <c r="S21" i="11"/>
  <c r="Q16" i="11"/>
  <c r="X21" i="11"/>
  <c r="M3" i="11"/>
  <c r="D17" i="11"/>
  <c r="L2" i="11"/>
  <c r="W20" i="11"/>
  <c r="K11" i="11"/>
  <c r="P19" i="11"/>
  <c r="J19" i="11"/>
  <c r="V10" i="11"/>
  <c r="K15" i="11"/>
  <c r="N23" i="11"/>
  <c r="U23" i="11"/>
  <c r="O19" i="11"/>
  <c r="I20" i="11"/>
  <c r="M13" i="11"/>
  <c r="Q3" i="11"/>
  <c r="R2" i="11"/>
  <c r="H6" i="11"/>
  <c r="M12" i="11"/>
  <c r="T2" i="11"/>
  <c r="Y9" i="11"/>
  <c r="V12" i="11"/>
  <c r="N27" i="11"/>
  <c r="M2" i="11"/>
  <c r="N19" i="11"/>
  <c r="N11" i="11"/>
  <c r="Q6" i="11"/>
  <c r="J7" i="11"/>
  <c r="L18" i="11"/>
  <c r="O9" i="11"/>
  <c r="F8" i="11"/>
  <c r="S9" i="11"/>
  <c r="D6" i="11"/>
  <c r="U19" i="11"/>
  <c r="S18" i="11"/>
  <c r="R12" i="11"/>
  <c r="I27" i="11"/>
  <c r="P4" i="11"/>
  <c r="Y28" i="11"/>
  <c r="F13" i="11"/>
  <c r="I4" i="11"/>
  <c r="H2" i="11"/>
  <c r="U18" i="11"/>
  <c r="U6" i="11"/>
  <c r="J6" i="11"/>
  <c r="E28" i="11"/>
  <c r="W18" i="11"/>
  <c r="F19" i="11"/>
  <c r="M4" i="11"/>
  <c r="G3" i="11"/>
  <c r="H27" i="11"/>
  <c r="D27" i="11"/>
  <c r="P2" i="11"/>
  <c r="D20" i="11"/>
  <c r="M17" i="11"/>
  <c r="D7" i="11"/>
  <c r="I11" i="11"/>
  <c r="M10" i="11"/>
  <c r="Q11" i="11"/>
  <c r="K10" i="11"/>
  <c r="T9" i="11"/>
  <c r="T11" i="11"/>
  <c r="S23" i="11"/>
  <c r="W10" i="11"/>
  <c r="H13" i="11"/>
  <c r="R10" i="11"/>
  <c r="O6" i="11"/>
  <c r="D13" i="11"/>
  <c r="M28" i="11"/>
  <c r="R18" i="11"/>
  <c r="K20" i="11"/>
  <c r="E22" i="11"/>
  <c r="J20" i="11"/>
  <c r="E5" i="11"/>
  <c r="Y14" i="11"/>
  <c r="X14" i="11"/>
  <c r="J5" i="11"/>
  <c r="R3" i="11"/>
  <c r="H3" i="11"/>
  <c r="H8" i="11"/>
  <c r="I6" i="11"/>
  <c r="K16" i="11"/>
  <c r="E18" i="11"/>
  <c r="X11" i="11"/>
  <c r="U21" i="11"/>
  <c r="J9" i="11"/>
  <c r="W6" i="11"/>
  <c r="D23" i="11"/>
  <c r="Q22" i="11"/>
  <c r="K18" i="11"/>
  <c r="R13" i="11"/>
  <c r="S27" i="11"/>
  <c r="E21" i="11"/>
  <c r="Y3" i="11"/>
  <c r="V6" i="11"/>
  <c r="F11" i="11"/>
  <c r="Y18" i="11"/>
  <c r="U4" i="11"/>
  <c r="G9" i="11"/>
  <c r="I10" i="11"/>
  <c r="O11" i="11"/>
  <c r="P28" i="11"/>
  <c r="K28" i="11"/>
  <c r="N28" i="11"/>
  <c r="R16" i="11"/>
  <c r="D10" i="11"/>
  <c r="T8" i="11"/>
  <c r="E12" i="11"/>
  <c r="W21" i="11"/>
  <c r="Q7" i="11"/>
  <c r="H35" i="11"/>
  <c r="H7" i="11"/>
  <c r="P11" i="11"/>
  <c r="J13" i="11"/>
  <c r="X4" i="11"/>
  <c r="H9" i="11"/>
  <c r="J2" i="11"/>
  <c r="S28" i="11"/>
  <c r="F3" i="11"/>
  <c r="X15" i="11"/>
  <c r="Y7" i="11"/>
  <c r="I28" i="11"/>
  <c r="F16" i="11"/>
  <c r="T28" i="11"/>
  <c r="D12" i="11"/>
  <c r="Q9" i="11"/>
  <c r="L5" i="11"/>
  <c r="Q14" i="11"/>
  <c r="R23" i="11"/>
  <c r="L12" i="11"/>
  <c r="E23" i="11"/>
  <c r="V18" i="11"/>
  <c r="Q19" i="11"/>
  <c r="O17" i="11"/>
  <c r="U22" i="11"/>
  <c r="S20" i="11"/>
  <c r="U14" i="11"/>
  <c r="K21" i="11"/>
  <c r="V11" i="11"/>
  <c r="L20" i="11"/>
  <c r="H10" i="11"/>
  <c r="Y17" i="11"/>
  <c r="T13" i="11"/>
  <c r="U20" i="11"/>
  <c r="L11" i="11"/>
  <c r="G22" i="11"/>
  <c r="J15" i="11"/>
  <c r="P20" i="11"/>
  <c r="R15" i="11"/>
  <c r="W13" i="11"/>
  <c r="R27" i="11"/>
  <c r="G4" i="11"/>
  <c r="G5" i="11"/>
  <c r="H20" i="11"/>
  <c r="H16" i="11"/>
  <c r="G11" i="11"/>
  <c r="M7" i="11"/>
  <c r="R4" i="11"/>
  <c r="W15" i="11"/>
  <c r="M22" i="11"/>
  <c r="X8" i="11"/>
  <c r="D35" i="11"/>
  <c r="G7" i="11"/>
  <c r="K22" i="11"/>
  <c r="W27" i="11"/>
  <c r="N10" i="11"/>
  <c r="H18" i="11"/>
  <c r="P13" i="11"/>
  <c r="S10" i="11"/>
  <c r="H12" i="11"/>
  <c r="Y19" i="11"/>
  <c r="H14" i="11"/>
  <c r="P7" i="11"/>
  <c r="H17" i="11"/>
  <c r="X28" i="11"/>
  <c r="V15" i="11"/>
  <c r="M21" i="11"/>
  <c r="R17" i="11"/>
  <c r="S4" i="11"/>
  <c r="O4" i="11"/>
  <c r="K12" i="11"/>
  <c r="S2" i="11"/>
  <c r="T22" i="11"/>
  <c r="V14" i="11"/>
  <c r="T7" i="11"/>
  <c r="N5" i="11"/>
  <c r="P5" i="11"/>
  <c r="R9" i="11"/>
  <c r="W12" i="11"/>
  <c r="W7" i="11"/>
  <c r="R7" i="11"/>
  <c r="D3" i="11"/>
  <c r="W11" i="11"/>
  <c r="Q15" i="11"/>
  <c r="O2" i="11"/>
  <c r="N13" i="11"/>
  <c r="V17" i="11"/>
  <c r="D9" i="11"/>
  <c r="E6" i="11"/>
  <c r="F23" i="11"/>
  <c r="U28" i="11"/>
  <c r="J28" i="11"/>
  <c r="D5" i="11"/>
  <c r="N17" i="11"/>
  <c r="I19" i="11"/>
  <c r="N18" i="11"/>
  <c r="E4" i="11"/>
  <c r="O20" i="11"/>
  <c r="K7" i="11"/>
  <c r="P18" i="11"/>
  <c r="G12" i="11"/>
  <c r="N8" i="11"/>
  <c r="G18" i="11"/>
  <c r="X5" i="11"/>
  <c r="Y11" i="11"/>
  <c r="R8" i="11"/>
  <c r="Y23" i="11"/>
  <c r="U16" i="11"/>
  <c r="Q20" i="11"/>
  <c r="M5" i="11"/>
  <c r="F9" i="11"/>
  <c r="N6" i="11"/>
  <c r="J14" i="11"/>
  <c r="J12" i="11"/>
  <c r="H11" i="11"/>
  <c r="M18" i="11"/>
  <c r="Y15" i="11"/>
  <c r="X19" i="11"/>
  <c r="I18" i="11"/>
  <c r="L28" i="11"/>
  <c r="J18" i="11"/>
  <c r="P15" i="11"/>
  <c r="X17" i="11"/>
  <c r="G20" i="11"/>
  <c r="P27" i="11"/>
  <c r="E7" i="11"/>
  <c r="G28" i="11"/>
  <c r="H21" i="11"/>
  <c r="J17" i="11"/>
  <c r="F18" i="11"/>
  <c r="X3" i="11"/>
  <c r="T12" i="11"/>
  <c r="X7" i="11"/>
  <c r="H4" i="11"/>
  <c r="F20" i="11"/>
  <c r="E9" i="11"/>
  <c r="E10" i="11"/>
  <c r="K17" i="11"/>
  <c r="E2" i="11"/>
  <c r="G13" i="11"/>
  <c r="L27" i="11"/>
  <c r="X22" i="11"/>
  <c r="I23" i="11"/>
  <c r="S15" i="11"/>
  <c r="I21" i="11"/>
  <c r="Y20" i="11"/>
  <c r="T14" i="11"/>
  <c r="Q5" i="11"/>
  <c r="M23" i="11"/>
  <c r="W2" i="11"/>
  <c r="Q27" i="11"/>
  <c r="T27" i="11"/>
  <c r="I9" i="11"/>
  <c r="W14" i="11"/>
  <c r="F15" i="11"/>
  <c r="V4" i="11"/>
  <c r="V9" i="11"/>
  <c r="Q21" i="11"/>
  <c r="J22" i="11"/>
  <c r="N7" i="11"/>
  <c r="S3" i="11"/>
  <c r="F4" i="11"/>
  <c r="W28" i="11"/>
  <c r="U7" i="11"/>
  <c r="K14" i="11"/>
  <c r="K8" i="11"/>
  <c r="Q10" i="11"/>
  <c r="W16" i="11"/>
  <c r="W4" i="11"/>
  <c r="N2" i="11"/>
  <c r="L8" i="11"/>
  <c r="S8" i="11"/>
  <c r="L16" i="11"/>
  <c r="W17" i="11"/>
  <c r="Y21" i="11"/>
  <c r="P9" i="11"/>
  <c r="G27" i="11"/>
  <c r="Q18" i="11"/>
  <c r="Q8" i="11"/>
  <c r="V16" i="11"/>
  <c r="F5" i="11"/>
  <c r="J3" i="11"/>
  <c r="Q17" i="11"/>
  <c r="O28" i="11"/>
  <c r="J4" i="11"/>
  <c r="N16" i="11"/>
  <c r="X20" i="11"/>
  <c r="O16" i="11"/>
  <c r="U5" i="11"/>
  <c r="K23" i="11"/>
  <c r="W9" i="11"/>
  <c r="O12" i="11"/>
  <c r="N21" i="11"/>
  <c r="W3" i="11"/>
  <c r="L23" i="11"/>
  <c r="L21" i="11"/>
  <c r="O21" i="11"/>
  <c r="O27" i="11"/>
  <c r="T23" i="11"/>
  <c r="Y27" i="11"/>
  <c r="O23" i="11"/>
  <c r="W22" i="11"/>
  <c r="K6" i="11"/>
  <c r="I8" i="11"/>
  <c r="T4" i="11"/>
  <c r="V23" i="11"/>
  <c r="P8" i="11"/>
  <c r="U10" i="11"/>
  <c r="N4" i="11"/>
  <c r="R11" i="11"/>
  <c r="N20" i="11"/>
  <c r="V5" i="11"/>
  <c r="M9" i="11"/>
  <c r="T16" i="11"/>
  <c r="R5" i="11"/>
  <c r="S14" i="11"/>
  <c r="U2" i="11"/>
  <c r="L17" i="11"/>
  <c r="F14" i="11"/>
  <c r="R19" i="11"/>
  <c r="K5" i="11"/>
  <c r="S19" i="11"/>
  <c r="H22" i="11"/>
  <c r="N3" i="11"/>
  <c r="G17" i="11"/>
  <c r="F6" i="11"/>
  <c r="O15" i="11"/>
  <c r="V13" i="11"/>
  <c r="Y6" i="11"/>
  <c r="D15" i="11"/>
  <c r="Q12" i="11"/>
  <c r="F10" i="11"/>
  <c r="Y5" i="11"/>
  <c r="D28" i="11"/>
  <c r="Q28" i="11"/>
  <c r="U8" i="11"/>
  <c r="P16" i="11"/>
  <c r="H15" i="11"/>
  <c r="P21" i="11"/>
  <c r="L4" i="11"/>
  <c r="V20" i="11"/>
  <c r="V8" i="11"/>
  <c r="E14" i="11"/>
  <c r="L22" i="11"/>
  <c r="D34" i="11" l="1" a="1"/>
  <c r="D34" i="11" s="1"/>
  <c r="H34" i="11" s="1"/>
  <c r="D32" i="11"/>
  <c r="K34" i="11" s="1"/>
  <c r="J34" i="11" l="1"/>
  <c r="L34"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okazan</author>
  </authors>
  <commentList>
    <comment ref="A50" authorId="0" shapeId="0" xr:uid="{13A43C13-467C-4C69-AE3F-C56D2320B4A2}">
      <text>
        <r>
          <rPr>
            <sz val="9"/>
            <color indexed="81"/>
            <rFont val="Tahoma"/>
            <family val="2"/>
          </rPr>
          <t>Add year-to-date return values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J33" authorId="0" shapeId="0" xr:uid="{00000000-0006-0000-0200-000001000000}">
      <text>
        <r>
          <rPr>
            <b/>
            <sz val="9"/>
            <color rgb="FF000000"/>
            <rFont val="Tahoma"/>
            <family val="2"/>
          </rPr>
          <t>admin:</t>
        </r>
        <r>
          <rPr>
            <sz val="9"/>
            <color rgb="FF000000"/>
            <rFont val="Tahoma"/>
            <family val="2"/>
          </rPr>
          <t xml:space="preserve">
</t>
        </r>
        <r>
          <rPr>
            <sz val="9"/>
            <color rgb="FF000000"/>
            <rFont val="Tahoma"/>
            <family val="2"/>
          </rPr>
          <t>Low Return (mean - StDev)</t>
        </r>
      </text>
    </comment>
    <comment ref="K33" authorId="0" shapeId="0" xr:uid="{00000000-0006-0000-0200-000002000000}">
      <text>
        <r>
          <rPr>
            <b/>
            <sz val="9"/>
            <color rgb="FF000000"/>
            <rFont val="Tahoma"/>
            <family val="2"/>
          </rPr>
          <t>admin:</t>
        </r>
        <r>
          <rPr>
            <sz val="9"/>
            <color rgb="FF000000"/>
            <rFont val="Tahoma"/>
            <family val="2"/>
          </rPr>
          <t xml:space="preserve">
</t>
        </r>
        <r>
          <rPr>
            <sz val="9"/>
            <color rgb="FF000000"/>
            <rFont val="Tahoma"/>
            <family val="2"/>
          </rPr>
          <t>Avg Portfolio Return</t>
        </r>
      </text>
    </comment>
    <comment ref="L33" authorId="0" shapeId="0" xr:uid="{00000000-0006-0000-0200-000003000000}">
      <text>
        <r>
          <rPr>
            <b/>
            <sz val="9"/>
            <color rgb="FF000000"/>
            <rFont val="Tahoma"/>
            <family val="2"/>
          </rPr>
          <t>admin:</t>
        </r>
        <r>
          <rPr>
            <sz val="9"/>
            <color rgb="FF000000"/>
            <rFont val="Tahoma"/>
            <family val="2"/>
          </rPr>
          <t xml:space="preserve">
</t>
        </r>
        <r>
          <rPr>
            <sz val="9"/>
            <color rgb="FF000000"/>
            <rFont val="Tahoma"/>
            <family val="2"/>
          </rPr>
          <t>High Return (mean + StDev)</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<sst xmlns="http://schemas.openxmlformats.org/spreadsheetml/2006/main" count="286" uniqueCount="103">
  <si>
    <t>Year</t>
  </si>
  <si>
    <t>GE</t>
  </si>
  <si>
    <t>ADI</t>
  </si>
  <si>
    <t>ABT</t>
  </si>
  <si>
    <t>XOM</t>
  </si>
  <si>
    <t>WMT</t>
  </si>
  <si>
    <t>GOLD</t>
  </si>
  <si>
    <t>CRUDE</t>
  </si>
  <si>
    <t>FORD</t>
  </si>
  <si>
    <t>INTC</t>
  </si>
  <si>
    <t>NSDQ</t>
  </si>
  <si>
    <t>JPM</t>
  </si>
  <si>
    <t>S&amp;P500</t>
  </si>
  <si>
    <t>10YRT.Bond</t>
  </si>
  <si>
    <t>3MO-T.Bill</t>
  </si>
  <si>
    <t>OGE</t>
  </si>
  <si>
    <t>CORN</t>
  </si>
  <si>
    <t>CATTLE</t>
  </si>
  <si>
    <t>Variance-Covariance Matrix</t>
  </si>
  <si>
    <t>StDev</t>
  </si>
  <si>
    <t>Total Invested</t>
  </si>
  <si>
    <t>=</t>
  </si>
  <si>
    <t>Avg Portfolio Return</t>
  </si>
  <si>
    <t>&gt;=</t>
  </si>
  <si>
    <t>Avg</t>
  </si>
  <si>
    <t>Portfolio Variance</t>
  </si>
  <si>
    <t>Portfolio StDev:</t>
  </si>
  <si>
    <t>minimum
required return</t>
  </si>
  <si>
    <t>Optimal
StDev</t>
  </si>
  <si>
    <t>Optimal return</t>
  </si>
  <si>
    <t>Sharpe Ratio</t>
  </si>
  <si>
    <t>Minimize for Portfolio StDev</t>
  </si>
  <si>
    <t>MCD</t>
  </si>
  <si>
    <t>KO</t>
  </si>
  <si>
    <t>PG</t>
  </si>
  <si>
    <t>DIS</t>
  </si>
  <si>
    <t>Bitcoin</t>
  </si>
  <si>
    <t>Your names:</t>
  </si>
  <si>
    <t>Inv. 1</t>
  </si>
  <si>
    <t>Inv. 2</t>
  </si>
  <si>
    <t>Inv. 3</t>
  </si>
  <si>
    <t>Inv. 4</t>
  </si>
  <si>
    <t>Inv. 5</t>
  </si>
  <si>
    <t>Inv. 6</t>
  </si>
  <si>
    <t>Inv. 7</t>
  </si>
  <si>
    <t>Inv. 8</t>
  </si>
  <si>
    <t>Inv. 9</t>
  </si>
  <si>
    <t>Inv. 10</t>
  </si>
  <si>
    <t>Inv. 11</t>
  </si>
  <si>
    <t>Inv. 12</t>
  </si>
  <si>
    <t>Inv. 13</t>
  </si>
  <si>
    <t>Inv. 14</t>
  </si>
  <si>
    <t>Inv. 15</t>
  </si>
  <si>
    <t>Inv. 16</t>
  </si>
  <si>
    <t>Inv. 17</t>
  </si>
  <si>
    <t>Inv. 18</t>
  </si>
  <si>
    <t>Inv. 19</t>
  </si>
  <si>
    <t>Inv. 20</t>
  </si>
  <si>
    <t>Inv. 21</t>
  </si>
  <si>
    <t>Inv. 22</t>
  </si>
  <si>
    <t>Low 
return</t>
  </si>
  <si>
    <t>Avg 
return</t>
  </si>
  <si>
    <t>High 
return</t>
  </si>
  <si>
    <t>Lo-Rtrn</t>
  </si>
  <si>
    <t>Hi-Rtrn</t>
  </si>
  <si>
    <t xml:space="preserve"> </t>
  </si>
  <si>
    <t>Median Return</t>
  </si>
  <si>
    <t>MSFT</t>
  </si>
  <si>
    <t>APPLE</t>
  </si>
  <si>
    <t>Daniel Cohen</t>
  </si>
  <si>
    <t>Brendan Sharpe</t>
  </si>
  <si>
    <t/>
  </si>
  <si>
    <t>_10YRT.Bond</t>
  </si>
  <si>
    <t>=Data!$E$2:$E$50</t>
  </si>
  <si>
    <t>_3MO_T.Bill</t>
  </si>
  <si>
    <t>=Data!$D$2:$D$50</t>
  </si>
  <si>
    <t>=Data!$Q$2:$Q$50</t>
  </si>
  <si>
    <t>=Data!$U$2:$U$50</t>
  </si>
  <si>
    <t>=Data!$X$2:$X$50</t>
  </si>
  <si>
    <t>=Data!$Y$2:$Y$50</t>
  </si>
  <si>
    <t>=Data!$G$2:$G$50</t>
  </si>
  <si>
    <t>=Data!$F$2:$F$50</t>
  </si>
  <si>
    <t>=Data!$I$2:$I$50</t>
  </si>
  <si>
    <t>=Data!$O$2:$O$50</t>
  </si>
  <si>
    <t>=Data!$S$2:$S$50</t>
  </si>
  <si>
    <t>=Data!$P$2:$P$50</t>
  </si>
  <si>
    <t>=Data!$H$2:$H$50</t>
  </si>
  <si>
    <t>=Data!$T$2:$T$50</t>
  </si>
  <si>
    <t>=Data!$V$2:$V$50</t>
  </si>
  <si>
    <t>=Data!$M$2:$M$50</t>
  </si>
  <si>
    <t>=Data!$L$2:$L$50</t>
  </si>
  <si>
    <t>=Data!$W$2:$W$50</t>
  </si>
  <si>
    <t>=Data!$C$2:$C$50</t>
  </si>
  <si>
    <t>=Data!$K$2:$K$50</t>
  </si>
  <si>
    <t>=Data!$N$2:$N$50</t>
  </si>
  <si>
    <t>S_P500</t>
  </si>
  <si>
    <t>=Data!$B$2:$B$50</t>
  </si>
  <si>
    <t>=Data!$R$2:$R$50</t>
  </si>
  <si>
    <t>=Data!$J$2:$J$50</t>
  </si>
  <si>
    <t>`</t>
  </si>
  <si>
    <t xml:space="preserve">&gt;= </t>
  </si>
  <si>
    <t>Every time the VBA code runs solver creates different values. Sometimes it creates a value that doesn’t meet the constraints but if you run it again then it usually finds an optimal soltuion</t>
  </si>
  <si>
    <t>Abe Zaidman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</si>
</sst>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_(* #,##0.000_);_(* \(#,##0.000\);_(* &quot;-&quot;??_);_(@_)"/>
    <numFmt numFmtId="166" formatCode="0.0%"/>
    <numFmt numFmtId="167" formatCode="0.0"/>
  </numFmts>
  <fonts count="16" x14ac:knownFonts="1">
    <font>
      <sz val="11"/>
      <color theme="1"/>
      <name val="Calibri"/>
      <family val="2"/>
      <scheme val="minor"/>
    </font>
    <font>
      <b/>
      <sz val="11"/>
      <color theme="1"/>
      <name val="Calibri"/>
      <family val="2"/>
      <scheme val="minor"/>
    </font>
    <font>
      <sz val="10"/>
      <name val="Arial"/>
      <family val="2"/>
    </font>
    <font>
      <sz val="11"/>
      <color theme="1"/>
      <name val="Calibri"/>
      <family val="2"/>
      <scheme val="minor"/>
    </font>
    <font>
      <b/>
      <sz val="11"/>
      <color rgb="FFFF0000"/>
      <name val="Calibri"/>
      <family val="2"/>
      <scheme val="minor"/>
    </font>
    <font>
      <sz val="11"/>
      <name val="Calibri"/>
      <family val="2"/>
      <scheme val="minor"/>
    </font>
    <font>
      <b/>
      <sz val="11"/>
      <color theme="4" tint="-0.249977111117893"/>
      <name val="Calibri"/>
      <family val="2"/>
      <scheme val="minor"/>
    </font>
    <font>
      <sz val="9"/>
      <color indexed="81"/>
      <name val="Tahoma"/>
      <family val="2"/>
    </font>
    <font>
      <sz val="11"/>
      <color rgb="FFFF0000"/>
      <name val="Calibri"/>
      <family val="2"/>
      <scheme val="minor"/>
    </font>
    <font>
      <i/>
      <sz val="11"/>
      <color theme="1"/>
      <name val="Calibri"/>
      <family val="2"/>
      <scheme val="minor"/>
    </font>
    <font>
      <sz val="11"/>
      <color rgb="FF000000"/>
      <name val="Times New Roman"/>
      <family val="1"/>
    </font>
    <font>
      <sz val="11"/>
      <color theme="1"/>
      <name val="Times New Roman"/>
      <family val="1"/>
    </font>
    <font>
      <b/>
      <sz val="11"/>
      <color theme="1"/>
      <name val="Times New Roman"/>
      <family val="1"/>
    </font>
    <font>
      <sz val="11"/>
      <color rgb="FFFF0000"/>
      <name val="Times New Roman"/>
      <family val="1"/>
    </font>
    <font>
      <b/>
      <sz val="9"/>
      <color rgb="FF000000"/>
      <name val="Tahoma"/>
      <family val="2"/>
    </font>
    <font>
      <sz val="9"/>
      <color rgb="FF000000"/>
      <name val="Tahoma"/>
      <family val="2"/>
    </font>
  </fonts>
  <fills count="7">
    <fill>
      <patternFill patternType="none"/>
    </fill>
    <fill>
      <patternFill patternType="gray125"/>
    </fill>
    <fill>
      <patternFill patternType="solid">
        <fgColor rgb="FFFFFF00"/>
        <bgColor indexed="64"/>
      </patternFill>
    </fill>
    <fill>
      <patternFill patternType="solid">
        <fgColor theme="0" tint="-0.14996795556505021"/>
        <bgColor indexed="64"/>
      </patternFill>
    </fill>
    <fill>
      <patternFill patternType="solid">
        <fgColor rgb="FFABF69E"/>
        <bgColor indexed="64"/>
      </patternFill>
    </fill>
    <fill>
      <patternFill patternType="solid">
        <fgColor theme="4" tint="0.79998168889431442"/>
        <bgColor indexed="64"/>
      </patternFill>
    </fill>
    <fill>
      <patternFill patternType="solid">
        <fgColor theme="4"/>
        <bgColor indexed="64"/>
      </patternFill>
    </fill>
  </fills>
  <borders count="1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rgb="FFFF0000"/>
      </top>
      <bottom style="thick">
        <color rgb="FFFF0000"/>
      </bottom>
      <diagonal/>
    </border>
    <border>
      <left style="thick">
        <color rgb="FF0070C0"/>
      </left>
      <right style="thick">
        <color rgb="FF0070C0"/>
      </right>
      <top style="thick">
        <color rgb="FF0070C0"/>
      </top>
      <bottom style="thick">
        <color rgb="FF0070C0"/>
      </bottom>
      <diagonal/>
    </border>
    <border>
      <left style="double">
        <color auto="1"/>
      </left>
      <right style="double">
        <color auto="1"/>
      </right>
      <top style="double">
        <color auto="1"/>
      </top>
      <bottom style="double">
        <color auto="1"/>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2" fillId="0" borderId="0"/>
    <xf numFmtId="43" fontId="3" fillId="0" borderId="0" applyFont="0" applyFill="0" applyBorder="0" applyAlignment="0" applyProtection="0"/>
    <xf numFmtId="9" fontId="3" fillId="0" borderId="0" applyFont="0" applyFill="0" applyBorder="0" applyAlignment="0" applyProtection="0"/>
  </cellStyleXfs>
  <cellXfs count="43">
    <xf numFmtId="0" fontId="0" fillId="0" borderId="0" xfId="0"/>
    <xf numFmtId="0" fontId="1" fillId="0" borderId="0" xfId="0" applyFont="1"/>
    <xf numFmtId="0" fontId="4" fillId="0" borderId="0" xfId="0" applyFont="1" applyAlignment="1">
      <alignment horizontal="right"/>
    </xf>
    <xf numFmtId="164" fontId="0" fillId="0" borderId="0" xfId="0" applyNumberFormat="1"/>
    <xf numFmtId="0" fontId="1" fillId="0" borderId="1" xfId="0" applyFont="1" applyBorder="1"/>
    <xf numFmtId="165" fontId="0" fillId="0" borderId="4" xfId="2" applyNumberFormat="1" applyFont="1" applyBorder="1"/>
    <xf numFmtId="0" fontId="0" fillId="0" borderId="0" xfId="0" applyAlignment="1">
      <alignment horizontal="right"/>
    </xf>
    <xf numFmtId="167" fontId="0" fillId="0" borderId="1" xfId="3" applyNumberFormat="1" applyFont="1" applyBorder="1" applyAlignment="1">
      <alignment horizontal="center"/>
    </xf>
    <xf numFmtId="0" fontId="0" fillId="0" borderId="0" xfId="0" applyAlignment="1">
      <alignment horizontal="center"/>
    </xf>
    <xf numFmtId="167" fontId="5" fillId="3" borderId="5" xfId="3" applyNumberFormat="1" applyFont="1" applyFill="1" applyBorder="1" applyAlignment="1">
      <alignment horizontal="center"/>
    </xf>
    <xf numFmtId="10" fontId="5" fillId="0" borderId="1" xfId="3" applyNumberFormat="1" applyFont="1" applyFill="1" applyBorder="1" applyAlignment="1"/>
    <xf numFmtId="166" fontId="5" fillId="3" borderId="5" xfId="3" applyNumberFormat="1" applyFont="1" applyFill="1" applyBorder="1" applyAlignment="1">
      <alignment horizontal="center"/>
    </xf>
    <xf numFmtId="0" fontId="6" fillId="0" borderId="0" xfId="0" applyFont="1" applyAlignment="1">
      <alignment horizontal="center"/>
    </xf>
    <xf numFmtId="0" fontId="6" fillId="0" borderId="0" xfId="0" applyFont="1" applyAlignment="1">
      <alignment horizontal="right"/>
    </xf>
    <xf numFmtId="0" fontId="5" fillId="0" borderId="0" xfId="1" applyFont="1" applyAlignment="1">
      <alignment horizontal="right"/>
    </xf>
    <xf numFmtId="0" fontId="0" fillId="0" borderId="1" xfId="0" applyBorder="1"/>
    <xf numFmtId="2" fontId="0" fillId="0" borderId="0" xfId="0" applyNumberFormat="1"/>
    <xf numFmtId="0" fontId="1" fillId="0" borderId="0" xfId="0" applyFont="1" applyAlignment="1">
      <alignment wrapText="1"/>
    </xf>
    <xf numFmtId="166" fontId="0" fillId="0" borderId="0" xfId="3" applyNumberFormat="1" applyFont="1" applyFill="1" applyBorder="1" applyAlignment="1"/>
    <xf numFmtId="0" fontId="8" fillId="0" borderId="0" xfId="0" applyFont="1"/>
    <xf numFmtId="0" fontId="8" fillId="0" borderId="0" xfId="0" applyFont="1" applyAlignment="1">
      <alignment horizontal="center"/>
    </xf>
    <xf numFmtId="0" fontId="1" fillId="2" borderId="0" xfId="0" applyFont="1" applyFill="1"/>
    <xf numFmtId="0" fontId="6" fillId="0" borderId="0" xfId="0" applyFont="1" applyAlignment="1">
      <alignment horizontal="center" wrapText="1"/>
    </xf>
    <xf numFmtId="0" fontId="1" fillId="5" borderId="0" xfId="0" applyFont="1" applyFill="1"/>
    <xf numFmtId="0" fontId="12" fillId="0" borderId="0" xfId="0" applyFont="1"/>
    <xf numFmtId="0" fontId="11" fillId="0" borderId="0" xfId="0" applyFont="1"/>
    <xf numFmtId="0" fontId="13" fillId="0" borderId="0" xfId="0" applyFont="1"/>
    <xf numFmtId="0" fontId="10" fillId="0" borderId="0" xfId="0" applyFont="1"/>
    <xf numFmtId="0" fontId="0" fillId="0" borderId="0" xfId="0" quotePrefix="1"/>
    <xf numFmtId="0" fontId="0" fillId="0" borderId="9" xfId="0" applyBorder="1"/>
    <xf numFmtId="164" fontId="0" fillId="0" borderId="9" xfId="0" applyNumberFormat="1" applyBorder="1"/>
    <xf numFmtId="0" fontId="0" fillId="0" borderId="7" xfId="0" applyBorder="1"/>
    <xf numFmtId="0" fontId="9" fillId="0" borderId="8" xfId="0" applyFont="1" applyBorder="1" applyAlignment="1">
      <alignment horizontal="center"/>
    </xf>
    <xf numFmtId="2" fontId="0" fillId="0" borderId="0" xfId="3" applyNumberFormat="1" applyFont="1"/>
    <xf numFmtId="9" fontId="0" fillId="0" borderId="0" xfId="0" applyNumberFormat="1" applyAlignment="1">
      <alignment horizontal="center"/>
    </xf>
    <xf numFmtId="10" fontId="0" fillId="0" borderId="1" xfId="0" applyNumberFormat="1" applyBorder="1"/>
    <xf numFmtId="0" fontId="11" fillId="6" borderId="0" xfId="0" applyFont="1" applyFill="1"/>
    <xf numFmtId="0" fontId="1" fillId="6" borderId="0" xfId="0" applyFont="1" applyFill="1"/>
    <xf numFmtId="165" fontId="0" fillId="0" borderId="0" xfId="0" applyNumberFormat="1"/>
    <xf numFmtId="164" fontId="5" fillId="4" borderId="6" xfId="3" applyNumberFormat="1" applyFont="1" applyFill="1" applyBorder="1" applyAlignment="1"/>
    <xf numFmtId="164" fontId="0" fillId="0" borderId="1" xfId="0" applyNumberFormat="1" applyBorder="1"/>
    <xf numFmtId="0" fontId="5" fillId="2" borderId="2" xfId="0" applyFont="1" applyFill="1" applyBorder="1" applyAlignment="1">
      <alignment horizontal="center"/>
    </xf>
    <xf numFmtId="0" fontId="5" fillId="2" borderId="3" xfId="0" applyFont="1" applyFill="1" applyBorder="1" applyAlignment="1">
      <alignment horizontal="center"/>
    </xf>
  </cellXfs>
  <cellStyles count="4">
    <cellStyle name="Comma" xfId="2" builtinId="3"/>
    <cellStyle name="Normal" xfId="0" builtinId="0"/>
    <cellStyle name="Normal 2" xfId="1" xr:uid="{00000000-0005-0000-0000-000002000000}"/>
    <cellStyle name="Percent" xfId="3" builtinId="5"/>
  </cellStyles>
  <dxfs count="0"/>
  <tableStyles count="0" defaultTableStyle="TableStyleMedium2" defaultPivotStyle="PivotStyleLight16"/>
  <colors>
    <mruColors>
      <color rgb="FFFFFFCC"/>
      <color rgb="FFFFFFFF"/>
      <color rgb="FFABF6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rgbClr val="595959"/>
                </a:solidFill>
                <a:latin typeface="+mn-lt"/>
                <a:ea typeface="+mn-ea"/>
                <a:cs typeface="+mn-cs"/>
              </a:rPr>
              <a:t>Portfolio</a:t>
            </a:r>
            <a:r>
              <a:rPr lang="en-US"/>
              <a:t> optimal Return vs StDev</a:t>
            </a:r>
          </a:p>
        </c:rich>
      </c:tx>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Optimizer!$B$38:$B$45</c:f>
              <c:numCache>
                <c:formatCode>General</c:formatCode>
                <c:ptCount val="8"/>
                <c:pt idx="0">
                  <c:v>7.5727787585798609E-2</c:v>
                </c:pt>
                <c:pt idx="1">
                  <c:v>8.3233394374494299E-2</c:v>
                </c:pt>
                <c:pt idx="2">
                  <c:v>0.30710895085934398</c:v>
                </c:pt>
                <c:pt idx="3">
                  <c:v>1.6482269205464462</c:v>
                </c:pt>
                <c:pt idx="4">
                  <c:v>1.5392096203174035</c:v>
                </c:pt>
                <c:pt idx="5">
                  <c:v>3.6986188541211815</c:v>
                </c:pt>
                <c:pt idx="6">
                  <c:v>5.9249718961165074</c:v>
                </c:pt>
                <c:pt idx="7">
                  <c:v>8.1636816610157048</c:v>
                </c:pt>
              </c:numCache>
            </c:numRef>
          </c:xVal>
          <c:yVal>
            <c:numRef>
              <c:f>Optimizer!$C$38:$C$45</c:f>
              <c:numCache>
                <c:formatCode>0.00%</c:formatCode>
                <c:ptCount val="8"/>
                <c:pt idx="0">
                  <c:v>9.408712638856262E-2</c:v>
                </c:pt>
                <c:pt idx="1">
                  <c:v>9.9999999999968656E-2</c:v>
                </c:pt>
                <c:pt idx="2">
                  <c:v>0.14999999019627602</c:v>
                </c:pt>
                <c:pt idx="3">
                  <c:v>0.17277737567850457</c:v>
                </c:pt>
                <c:pt idx="4">
                  <c:v>0.24999999968136585</c:v>
                </c:pt>
                <c:pt idx="5">
                  <c:v>0.30000000000000004</c:v>
                </c:pt>
                <c:pt idx="6">
                  <c:v>0.35</c:v>
                </c:pt>
                <c:pt idx="7">
                  <c:v>0.40000000000000008</c:v>
                </c:pt>
              </c:numCache>
            </c:numRef>
          </c:yVal>
          <c:smooth val="0"/>
          <c:extLst>
            <c:ext xmlns:c16="http://schemas.microsoft.com/office/drawing/2014/chart" uri="{C3380CC4-5D6E-409C-BE32-E72D297353CC}">
              <c16:uniqueId val="{00000000-923A-3640-AB01-51A438580595}"/>
            </c:ext>
          </c:extLst>
        </c:ser>
        <c:dLbls>
          <c:showLegendKey val="0"/>
          <c:showVal val="0"/>
          <c:showCatName val="0"/>
          <c:showSerName val="0"/>
          <c:showPercent val="0"/>
          <c:showBubbleSize val="0"/>
        </c:dLbls>
        <c:axId val="1316725040"/>
        <c:axId val="1579606480"/>
      </c:scatterChart>
      <c:valAx>
        <c:axId val="13167250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StDev</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9606480"/>
        <c:crosses val="autoZero"/>
        <c:crossBetween val="midCat"/>
      </c:valAx>
      <c:valAx>
        <c:axId val="1579606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Optimal 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67250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12</xdr:col>
      <xdr:colOff>121920</xdr:colOff>
      <xdr:row>35</xdr:row>
      <xdr:rowOff>83820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 y="0"/>
          <a:ext cx="7437119" cy="6484620"/>
        </a:xfrm>
        <a:prstGeom prst="rect">
          <a:avLst/>
        </a:prstGeom>
        <a:solidFill>
          <a:schemeClr val="accent1">
            <a:lumMod val="20000"/>
            <a:lumOff val="80000"/>
          </a:schemeClr>
        </a:solidFill>
        <a:ln w="28575" cmpd="sng">
          <a:solidFill>
            <a:schemeClr val="accent5">
              <a:lumMod val="75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u="sng" baseline="0"/>
            <a:t>Portfolio Optimization - 22</a:t>
          </a:r>
        </a:p>
        <a:p>
          <a:endParaRPr lang="en-US" sz="1200" b="1" u="sng" baseline="0"/>
        </a:p>
        <a:p>
          <a:r>
            <a:rPr lang="en-US" sz="1200" b="1" u="none" baseline="0"/>
            <a:t>Actual</a:t>
          </a:r>
          <a:r>
            <a:rPr lang="en-US" sz="1200" b="0" u="none" baseline="0"/>
            <a:t> annual returns of </a:t>
          </a:r>
          <a:r>
            <a:rPr lang="en-US" sz="1200" b="1" u="none" baseline="0"/>
            <a:t>two indices</a:t>
          </a:r>
          <a:r>
            <a:rPr lang="en-US" sz="1200" b="0" u="none" baseline="0"/>
            <a:t> and </a:t>
          </a:r>
          <a:r>
            <a:rPr lang="en-US" sz="1200" b="1" u="none" baseline="0"/>
            <a:t>20 investment instruments</a:t>
          </a:r>
          <a:r>
            <a:rPr lang="en-US" sz="1200" b="0" u="none" baseline="0"/>
            <a:t> (stocks, bonds, commodities, Bitcoin, etc.) were provided in the Data worksheet. As portfolio managers, you need select two stocks (</a:t>
          </a:r>
          <a:r>
            <a:rPr lang="en-US" sz="1200" b="1" baseline="0">
              <a:solidFill>
                <a:schemeClr val="dk1"/>
              </a:solidFill>
              <a:effectLst/>
              <a:latin typeface="+mn-lt"/>
              <a:ea typeface="+mn-ea"/>
              <a:cs typeface="+mn-cs"/>
            </a:rPr>
            <a:t>21st</a:t>
          </a:r>
          <a:r>
            <a:rPr lang="en-US" sz="1200" b="0" baseline="0">
              <a:solidFill>
                <a:schemeClr val="dk1"/>
              </a:solidFill>
              <a:effectLst/>
              <a:latin typeface="+mn-lt"/>
              <a:ea typeface="+mn-ea"/>
              <a:cs typeface="+mn-cs"/>
            </a:rPr>
            <a:t> and </a:t>
          </a:r>
          <a:r>
            <a:rPr lang="en-US" sz="1200" b="1" baseline="0">
              <a:solidFill>
                <a:schemeClr val="dk1"/>
              </a:solidFill>
              <a:effectLst/>
              <a:latin typeface="+mn-lt"/>
              <a:ea typeface="+mn-ea"/>
              <a:cs typeface="+mn-cs"/>
            </a:rPr>
            <a:t>22nd</a:t>
          </a:r>
          <a:r>
            <a:rPr lang="en-US" sz="1200" b="0" u="none" baseline="0"/>
            <a:t>) from </a:t>
          </a:r>
          <a:r>
            <a:rPr lang="en-US" sz="1200" b="1" u="sng" baseline="0"/>
            <a:t>an industry</a:t>
          </a:r>
          <a:r>
            <a:rPr lang="en-US" sz="1200" b="0" u="none" baseline="0"/>
            <a:t> of your choice. Populate missing annual returns (including 2023 YTD) from financial databases. </a:t>
          </a:r>
          <a:r>
            <a:rPr lang="en-US" sz="1200" b="1" u="sng" baseline="0"/>
            <a:t>List your sources</a:t>
          </a:r>
          <a:r>
            <a:rPr lang="en-US" sz="1200" b="0" u="none" baseline="0"/>
            <a:t> (e.g., 1stock1.com, yahoo finance, etc.)  Analyze correlations, covariances, and establish optimal portfolios.</a:t>
          </a:r>
          <a:endParaRPr lang="en-US" sz="1200" b="0" baseline="0">
            <a:solidFill>
              <a:schemeClr val="dk1"/>
            </a:solidFill>
            <a:effectLst/>
            <a:latin typeface="+mn-lt"/>
            <a:ea typeface="+mn-ea"/>
            <a:cs typeface="+mn-cs"/>
          </a:endParaRPr>
        </a:p>
        <a:p>
          <a:br>
            <a:rPr lang="en-US" sz="1200" b="0" baseline="0">
              <a:solidFill>
                <a:schemeClr val="dk1"/>
              </a:solidFill>
              <a:effectLst/>
              <a:latin typeface="+mn-lt"/>
              <a:ea typeface="+mn-ea"/>
              <a:cs typeface="+mn-cs"/>
            </a:rPr>
          </a:br>
          <a:r>
            <a:rPr lang="en-US" sz="1200" b="0" baseline="0">
              <a:solidFill>
                <a:schemeClr val="dk1"/>
              </a:solidFill>
              <a:effectLst/>
              <a:latin typeface="+mn-lt"/>
              <a:ea typeface="+mn-ea"/>
              <a:cs typeface="+mn-cs"/>
            </a:rPr>
            <a:t>	Apply the following steps precisely for the full credit: 100 </a:t>
          </a:r>
          <a:r>
            <a:rPr lang="en-US" sz="1200" b="0" u="none" baseline="0"/>
            <a:t>points</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mn-lt"/>
              <a:ea typeface="+mn-ea"/>
              <a:cs typeface="+mn-cs"/>
            </a:rPr>
            <a:t>1) [10pts] Write the industry and the stocks you've selected clearly. Correctly populate annual returns. Define Names for annual returns of investment options thru columns. Paste the list of the defined 24 names. (Use </a:t>
          </a:r>
          <a:r>
            <a:rPr lang="en-US" sz="1200" b="1" u="sng" baseline="0">
              <a:solidFill>
                <a:srgbClr val="C00000"/>
              </a:solidFill>
              <a:effectLst/>
              <a:latin typeface="+mn-lt"/>
              <a:ea typeface="+mn-ea"/>
              <a:cs typeface="+mn-cs"/>
            </a:rPr>
            <a:t>Color</a:t>
          </a:r>
          <a:r>
            <a:rPr lang="en-US" sz="1200" b="0" baseline="0">
              <a:solidFill>
                <a:schemeClr val="dk1"/>
              </a:solidFill>
              <a:effectLst/>
              <a:latin typeface="+mn-lt"/>
              <a:ea typeface="+mn-ea"/>
              <a:cs typeface="+mn-cs"/>
            </a:rPr>
            <a:t> Conditional Formatting, and </a:t>
          </a:r>
          <a:r>
            <a:rPr lang="en-US" sz="1200" b="1" u="sng" baseline="0">
              <a:solidFill>
                <a:schemeClr val="dk1"/>
              </a:solidFill>
              <a:effectLst/>
              <a:latin typeface="+mn-lt"/>
              <a:ea typeface="+mn-ea"/>
              <a:cs typeface="+mn-cs"/>
            </a:rPr>
            <a:t>3 decimals</a:t>
          </a:r>
          <a:r>
            <a:rPr lang="en-US" sz="1200" b="0" baseline="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mn-lt"/>
              <a:ea typeface="+mn-ea"/>
              <a:cs typeface="+mn-cs"/>
            </a:rPr>
            <a:t>2) [10pts] In a new worksheet, generate a correlation matrix for annual returns directly from </a:t>
          </a:r>
          <a:r>
            <a:rPr lang="en-US" sz="1200" b="1" baseline="0">
              <a:solidFill>
                <a:schemeClr val="dk1"/>
              </a:solidFill>
              <a:effectLst/>
              <a:latin typeface="+mn-lt"/>
              <a:ea typeface="+mn-ea"/>
              <a:cs typeface="+mn-cs"/>
            </a:rPr>
            <a:t>Data Analysis &gt; Correlation</a:t>
          </a:r>
          <a:r>
            <a:rPr lang="en-US" sz="1200" b="0" baseline="0">
              <a:solidFill>
                <a:schemeClr val="dk1"/>
              </a:solidFill>
              <a:effectLst/>
              <a:latin typeface="+mn-lt"/>
              <a:ea typeface="+mn-ea"/>
              <a:cs typeface="+mn-cs"/>
            </a:rPr>
            <a:t>. This will be a full 24x24 matrix. Indices (SP&amp;500 and NSDQ) will be part of the Correlation Matrix.</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mn-lt"/>
              <a:ea typeface="+mn-ea"/>
              <a:cs typeface="+mn-cs"/>
            </a:rPr>
            <a:t>3) [10pts] In "Optimizer" worksheet, compute the covariance matrix dynamically by COVAR.P function. Indicies will not be part of this matrix, which will be a 22x22 matrix.</a:t>
          </a:r>
          <a:endParaRPr lang="en-US" sz="12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200" b="0" u="none" baseline="0"/>
        </a:p>
        <a:p>
          <a:r>
            <a:rPr lang="en-US" sz="1200" b="0" baseline="0">
              <a:solidFill>
                <a:schemeClr val="dk1"/>
              </a:solidFill>
              <a:effectLst/>
              <a:latin typeface="+mn-lt"/>
              <a:ea typeface="+mn-ea"/>
              <a:cs typeface="+mn-cs"/>
            </a:rPr>
            <a:t>4) </a:t>
          </a:r>
          <a:r>
            <a:rPr lang="en-US" sz="1200" b="0" u="none" baseline="0"/>
            <a:t>[10pts] Set up your portfolio optimization model to </a:t>
          </a:r>
          <a:r>
            <a:rPr lang="en-US" sz="1200" b="1" u="sng" baseline="0"/>
            <a:t>minimize Portfolio </a:t>
          </a:r>
          <a:r>
            <a:rPr lang="en-US" sz="1200" b="1" u="sng" baseline="0">
              <a:solidFill>
                <a:srgbClr val="FF0000"/>
              </a:solidFill>
            </a:rPr>
            <a:t>StDev</a:t>
          </a:r>
          <a:r>
            <a:rPr lang="en-US" sz="1200" b="0" u="none" baseline="0"/>
            <a:t>. No short selling is allowed, i.e., fractions can not be negative. No 40% rule. Your stocks from your selected industry must be at least 20% of the portfolio. </a:t>
          </a:r>
        </a:p>
        <a:p>
          <a:endParaRPr lang="en-US" sz="1200" b="0" u="none" baseline="0"/>
        </a:p>
        <a:p>
          <a:r>
            <a:rPr lang="en-US" sz="1200" b="0" u="none" baseline="0"/>
            <a:t>5) Write a VBA macro:</a:t>
          </a:r>
        </a:p>
        <a:p>
          <a:r>
            <a:rPr lang="en-US" sz="1200" b="0" u="none" baseline="0"/>
            <a:t>      a) [20pts] to run the solver </a:t>
          </a:r>
          <a:r>
            <a:rPr lang="en-US" sz="1200" b="0" baseline="0">
              <a:solidFill>
                <a:schemeClr val="dk1"/>
              </a:solidFill>
              <a:effectLst/>
              <a:latin typeface="+mn-lt"/>
              <a:ea typeface="+mn-ea"/>
              <a:cs typeface="+mn-cs"/>
            </a:rPr>
            <a:t>for changing values of minimum required portfolio returns of 5% to 40% by increments of 5%. </a:t>
          </a:r>
        </a:p>
        <a:p>
          <a:r>
            <a:rPr lang="en-US" sz="1200" b="0" u="none" baseline="0">
              <a:solidFill>
                <a:schemeClr val="dk1"/>
              </a:solidFill>
              <a:effectLst/>
              <a:latin typeface="+mn-lt"/>
              <a:ea typeface="+mn-ea"/>
              <a:cs typeface="+mn-cs"/>
            </a:rPr>
            <a:t>      b) </a:t>
          </a:r>
          <a:r>
            <a:rPr lang="en-US" sz="1200" b="0" baseline="0">
              <a:solidFill>
                <a:schemeClr val="dk1"/>
              </a:solidFill>
              <a:effectLst/>
              <a:latin typeface="+mn-lt"/>
              <a:ea typeface="+mn-ea"/>
              <a:cs typeface="+mn-cs"/>
            </a:rPr>
            <a:t>[20pts] </a:t>
          </a:r>
          <a:r>
            <a:rPr lang="en-US" sz="1200" b="0" u="none" baseline="0">
              <a:solidFill>
                <a:schemeClr val="dk1"/>
              </a:solidFill>
              <a:effectLst/>
              <a:latin typeface="+mn-lt"/>
              <a:ea typeface="+mn-ea"/>
              <a:cs typeface="+mn-cs"/>
            </a:rPr>
            <a:t>to </a:t>
          </a:r>
          <a:r>
            <a:rPr lang="en-US" sz="1200" b="0" u="none" baseline="0"/>
            <a:t>report the solutions in a table which will include optimal Fractions to Invest, Low, Average, and High    Returns, and Sharpe Ratios. If a solution in infeasible, the macro should write that in column D.</a:t>
          </a:r>
        </a:p>
        <a:p>
          <a:r>
            <a:rPr lang="en-US" sz="1200" b="0" baseline="0">
              <a:solidFill>
                <a:schemeClr val="dk1"/>
              </a:solidFill>
              <a:effectLst/>
              <a:latin typeface="+mn-lt"/>
              <a:ea typeface="+mn-ea"/>
              <a:cs typeface="+mn-cs"/>
            </a:rPr>
            <a:t>      c) [10pts] to report the solutions on </a:t>
          </a:r>
          <a:r>
            <a:rPr lang="en-US" sz="1200" b="1" u="sng" baseline="0">
              <a:solidFill>
                <a:schemeClr val="dk1"/>
              </a:solidFill>
              <a:effectLst/>
              <a:latin typeface="+mn-lt"/>
              <a:ea typeface="+mn-ea"/>
              <a:cs typeface="+mn-cs"/>
            </a:rPr>
            <a:t>a scatter plot</a:t>
          </a:r>
          <a:r>
            <a:rPr lang="en-US" sz="1200" b="1" u="none" baseline="0">
              <a:solidFill>
                <a:schemeClr val="dk1"/>
              </a:solidFill>
              <a:effectLst/>
              <a:latin typeface="+mn-lt"/>
              <a:ea typeface="+mn-ea"/>
              <a:cs typeface="+mn-cs"/>
            </a:rPr>
            <a:t> </a:t>
          </a:r>
          <a:r>
            <a:rPr lang="en-US" sz="1200" b="0" baseline="0">
              <a:solidFill>
                <a:schemeClr val="dk1"/>
              </a:solidFill>
              <a:effectLst/>
              <a:latin typeface="+mn-lt"/>
              <a:ea typeface="+mn-ea"/>
              <a:cs typeface="+mn-cs"/>
            </a:rPr>
            <a:t>of Portfolio StDev. (in x-axis) vs. Portfolio Return (in y-axis).  </a:t>
          </a:r>
        </a:p>
        <a:p>
          <a:r>
            <a:rPr lang="en-US" sz="1200" b="0" baseline="0">
              <a:solidFill>
                <a:schemeClr val="dk1"/>
              </a:solidFill>
              <a:effectLst/>
              <a:latin typeface="+mn-lt"/>
              <a:ea typeface="+mn-ea"/>
              <a:cs typeface="+mn-cs"/>
            </a:rPr>
            <a:t>      d) [5pts] to add </a:t>
          </a:r>
          <a:r>
            <a:rPr lang="en-US" sz="1200" b="1" u="sng" baseline="0">
              <a:solidFill>
                <a:schemeClr val="dk1"/>
              </a:solidFill>
              <a:effectLst/>
              <a:latin typeface="+mn-lt"/>
              <a:ea typeface="+mn-ea"/>
              <a:cs typeface="+mn-cs"/>
            </a:rPr>
            <a:t>the best fitting trendline</a:t>
          </a:r>
          <a:r>
            <a:rPr lang="en-US" sz="1200" b="0" baseline="0">
              <a:solidFill>
                <a:schemeClr val="dk1"/>
              </a:solidFill>
              <a:effectLst/>
              <a:latin typeface="+mn-lt"/>
              <a:ea typeface="+mn-ea"/>
              <a:cs typeface="+mn-cs"/>
            </a:rPr>
            <a:t> to the chart.</a:t>
          </a:r>
        </a:p>
        <a:p>
          <a:endParaRPr lang="en-US" sz="1200" b="0" baseline="0">
            <a:solidFill>
              <a:schemeClr val="dk1"/>
            </a:solidFill>
            <a:effectLst/>
            <a:latin typeface="+mn-lt"/>
            <a:ea typeface="+mn-ea"/>
            <a:cs typeface="+mn-cs"/>
          </a:endParaRPr>
        </a:p>
        <a:p>
          <a:r>
            <a:rPr lang="en-US" sz="1200" b="0" baseline="0">
              <a:solidFill>
                <a:schemeClr val="dk1"/>
              </a:solidFill>
              <a:effectLst/>
              <a:latin typeface="+mn-lt"/>
              <a:ea typeface="+mn-ea"/>
              <a:cs typeface="+mn-cs"/>
            </a:rPr>
            <a:t>8) Good style worths 5 point.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338015</xdr:colOff>
      <xdr:row>49</xdr:row>
      <xdr:rowOff>19049</xdr:rowOff>
    </xdr:from>
    <xdr:to>
      <xdr:col>23</xdr:col>
      <xdr:colOff>223296</xdr:colOff>
      <xdr:row>67</xdr:row>
      <xdr:rowOff>153516</xdr:rowOff>
    </xdr:to>
    <xdr:graphicFrame macro="">
      <xdr:nvGraphicFramePr>
        <xdr:cNvPr id="10" name="Chart 9">
          <a:extLst>
            <a:ext uri="{FF2B5EF4-FFF2-40B4-BE49-F238E27FC236}">
              <a16:creationId xmlns:a16="http://schemas.microsoft.com/office/drawing/2014/main" id="{1189C04B-B5A3-6F9A-616A-F0A2DB9F77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tabSelected="1" zoomScaleNormal="100" workbookViewId="0">
      <selection activeCell="N22" sqref="N22"/>
    </sheetView>
  </sheetViews>
  <sheetFormatPr defaultColWidth="8.81640625" defaultRowHeight="14.5" x14ac:dyDescent="0.35"/>
  <cols>
    <col min="20" max="20" width="10.81640625" bestFit="1"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E9804-52C9-8346-818C-36AB0E1DF0BB}">
  <sheetPr codeName="Sheet3"/>
  <dimension ref="A1:Y52"/>
  <sheetViews>
    <sheetView workbookViewId="0">
      <selection activeCell="B16" sqref="B16"/>
    </sheetView>
  </sheetViews>
  <sheetFormatPr defaultColWidth="10.90625" defaultRowHeight="14.5" x14ac:dyDescent="0.35"/>
  <sheetData>
    <row r="1" spans="1:25" x14ac:dyDescent="0.35">
      <c r="A1" s="32"/>
      <c r="B1" s="32" t="s">
        <v>12</v>
      </c>
      <c r="C1" s="32" t="s">
        <v>10</v>
      </c>
      <c r="D1" s="32" t="s">
        <v>14</v>
      </c>
      <c r="E1" s="32" t="s">
        <v>13</v>
      </c>
      <c r="F1" s="32" t="s">
        <v>16</v>
      </c>
      <c r="G1" s="32" t="s">
        <v>17</v>
      </c>
      <c r="H1" s="32" t="s">
        <v>6</v>
      </c>
      <c r="I1" s="32" t="s">
        <v>7</v>
      </c>
      <c r="J1" s="32" t="s">
        <v>4</v>
      </c>
      <c r="K1" s="32" t="s">
        <v>15</v>
      </c>
      <c r="L1" s="32" t="s">
        <v>32</v>
      </c>
      <c r="M1" s="32" t="s">
        <v>33</v>
      </c>
      <c r="N1" s="32" t="s">
        <v>34</v>
      </c>
      <c r="O1" s="32" t="s">
        <v>35</v>
      </c>
      <c r="P1" s="32" t="s">
        <v>1</v>
      </c>
      <c r="Q1" s="32" t="s">
        <v>3</v>
      </c>
      <c r="R1" s="32" t="s">
        <v>5</v>
      </c>
      <c r="S1" s="32" t="s">
        <v>8</v>
      </c>
      <c r="T1" s="32" t="s">
        <v>9</v>
      </c>
      <c r="U1" s="32" t="s">
        <v>2</v>
      </c>
      <c r="V1" s="32" t="s">
        <v>11</v>
      </c>
      <c r="W1" s="32" t="s">
        <v>67</v>
      </c>
      <c r="X1" s="32" t="s">
        <v>68</v>
      </c>
      <c r="Y1" s="32" t="s">
        <v>36</v>
      </c>
    </row>
    <row r="2" spans="1:25" x14ac:dyDescent="0.35">
      <c r="A2" t="s">
        <v>12</v>
      </c>
      <c r="B2">
        <v>1</v>
      </c>
      <c r="C2">
        <v>0.83389817703539704</v>
      </c>
      <c r="D2">
        <v>-9.1989197746196599E-2</v>
      </c>
      <c r="E2">
        <v>-0.26581159195841397</v>
      </c>
      <c r="F2">
        <v>-0.27931975353906147</v>
      </c>
      <c r="G2">
        <v>-0.20810947225292958</v>
      </c>
      <c r="H2">
        <v>-2.5416852475151255E-2</v>
      </c>
      <c r="I2">
        <v>-0.13523930727231259</v>
      </c>
      <c r="J2">
        <v>0.30354707225137673</v>
      </c>
      <c r="K2">
        <v>0.41266191954523884</v>
      </c>
      <c r="L2">
        <v>0.53258676620735546</v>
      </c>
      <c r="M2">
        <v>0.53548846146360052</v>
      </c>
      <c r="N2">
        <v>0.51946423776882023</v>
      </c>
      <c r="O2">
        <v>0.62712604448676712</v>
      </c>
      <c r="P2">
        <v>0.74551812441261112</v>
      </c>
      <c r="Q2">
        <v>0.3198580729487337</v>
      </c>
      <c r="R2">
        <v>0.46054712875988479</v>
      </c>
      <c r="S2">
        <v>0.45898905373136001</v>
      </c>
      <c r="T2">
        <v>0.55127729065353903</v>
      </c>
      <c r="U2">
        <v>0.49685901606887539</v>
      </c>
      <c r="V2">
        <v>0.59953487761186441</v>
      </c>
      <c r="W2">
        <v>0.55681965825571778</v>
      </c>
      <c r="X2">
        <v>0.26794053392711403</v>
      </c>
      <c r="Y2">
        <v>0.25707577185495117</v>
      </c>
    </row>
    <row r="3" spans="1:25" x14ac:dyDescent="0.35">
      <c r="A3" t="s">
        <v>10</v>
      </c>
      <c r="B3">
        <v>0.83389817703539704</v>
      </c>
      <c r="C3">
        <v>1</v>
      </c>
      <c r="D3">
        <v>-0.21568703654460844</v>
      </c>
      <c r="E3">
        <v>-0.38920516671166144</v>
      </c>
      <c r="F3">
        <v>-0.23572810207691391</v>
      </c>
      <c r="G3">
        <v>-0.18205529792462255</v>
      </c>
      <c r="H3">
        <v>7.3193062167803122E-2</v>
      </c>
      <c r="I3">
        <v>-0.10440475656276034</v>
      </c>
      <c r="J3">
        <v>6.3935383382311542E-2</v>
      </c>
      <c r="K3">
        <v>0.11690838963596367</v>
      </c>
      <c r="L3">
        <v>0.42946523535041659</v>
      </c>
      <c r="M3">
        <v>0.31449006963110271</v>
      </c>
      <c r="N3">
        <v>0.38105096916843251</v>
      </c>
      <c r="O3">
        <v>0.41207123120443728</v>
      </c>
      <c r="P3">
        <v>0.63672009790860806</v>
      </c>
      <c r="Q3">
        <v>0.28811793559961535</v>
      </c>
      <c r="R3">
        <v>0.38790883585263242</v>
      </c>
      <c r="S3">
        <v>0.41444586663921618</v>
      </c>
      <c r="T3">
        <v>0.47441932224668459</v>
      </c>
      <c r="U3">
        <v>0.69296514144965549</v>
      </c>
      <c r="V3">
        <v>0.60482824363811083</v>
      </c>
      <c r="W3">
        <v>0.55397482596554282</v>
      </c>
      <c r="X3">
        <v>0.4235912870085608</v>
      </c>
      <c r="Y3">
        <v>0.24702204595537897</v>
      </c>
    </row>
    <row r="4" spans="1:25" x14ac:dyDescent="0.35">
      <c r="A4" t="s">
        <v>14</v>
      </c>
      <c r="B4">
        <v>-9.1989197746196599E-2</v>
      </c>
      <c r="C4">
        <v>-0.21568703654460844</v>
      </c>
      <c r="D4">
        <v>1</v>
      </c>
      <c r="E4">
        <v>0.72061654299538047</v>
      </c>
      <c r="F4">
        <v>0.10820894636522876</v>
      </c>
      <c r="G4">
        <v>0.22303927173298355</v>
      </c>
      <c r="H4">
        <v>2.1396034684836994E-2</v>
      </c>
      <c r="I4">
        <v>-0.14273360155258005</v>
      </c>
      <c r="J4">
        <v>4.8361372910586137E-3</v>
      </c>
      <c r="K4">
        <v>-8.0691644920910854E-2</v>
      </c>
      <c r="L4">
        <v>-4.1104933560003817E-2</v>
      </c>
      <c r="M4">
        <v>-7.5834026507512961E-2</v>
      </c>
      <c r="N4">
        <v>-7.7393692311786499E-2</v>
      </c>
      <c r="O4">
        <v>-3.4710828676619405E-2</v>
      </c>
      <c r="P4">
        <v>-1.6192839531846705E-4</v>
      </c>
      <c r="Q4">
        <v>-8.7837711620461195E-2</v>
      </c>
      <c r="R4">
        <v>0.15323356014646761</v>
      </c>
      <c r="S4">
        <v>-5.6368020840186911E-2</v>
      </c>
      <c r="T4">
        <v>-5.6572420196254691E-2</v>
      </c>
      <c r="U4">
        <v>-5.7384836090122182E-2</v>
      </c>
      <c r="V4">
        <v>-6.1696409162649686E-2</v>
      </c>
      <c r="W4">
        <v>-0.20938874615553679</v>
      </c>
      <c r="X4">
        <v>-0.12948912331910967</v>
      </c>
      <c r="Y4">
        <v>-0.13569689318052311</v>
      </c>
    </row>
    <row r="5" spans="1:25" x14ac:dyDescent="0.35">
      <c r="A5" t="s">
        <v>13</v>
      </c>
      <c r="B5">
        <v>-0.26581159195841397</v>
      </c>
      <c r="C5">
        <v>-0.38920516671166144</v>
      </c>
      <c r="D5">
        <v>0.72061654299538047</v>
      </c>
      <c r="E5">
        <v>1</v>
      </c>
      <c r="F5">
        <v>0.16560971812305453</v>
      </c>
      <c r="G5">
        <v>0.23558550630661906</v>
      </c>
      <c r="H5">
        <v>-4.5205263593875084E-2</v>
      </c>
      <c r="I5">
        <v>-0.14227486250711011</v>
      </c>
      <c r="J5">
        <v>0.14095152049033774</v>
      </c>
      <c r="K5">
        <v>8.6284294810696806E-3</v>
      </c>
      <c r="L5">
        <v>2.8225577208703095E-2</v>
      </c>
      <c r="M5">
        <v>7.8437355825757657E-2</v>
      </c>
      <c r="N5">
        <v>-6.3825631592338047E-2</v>
      </c>
      <c r="O5">
        <v>-9.7361046635635037E-2</v>
      </c>
      <c r="P5">
        <v>-8.3569824963701939E-2</v>
      </c>
      <c r="Q5">
        <v>-0.40304101377704793</v>
      </c>
      <c r="R5">
        <v>0.17979985172429233</v>
      </c>
      <c r="S5">
        <v>-0.21079285644658399</v>
      </c>
      <c r="T5">
        <v>-0.17756211491776494</v>
      </c>
      <c r="U5">
        <v>-0.18617251900560691</v>
      </c>
      <c r="V5">
        <v>-0.12011692867495195</v>
      </c>
      <c r="W5">
        <v>-0.38571776275833691</v>
      </c>
      <c r="X5">
        <v>-0.31066097506185214</v>
      </c>
      <c r="Y5">
        <v>-0.13279135254598673</v>
      </c>
    </row>
    <row r="6" spans="1:25" x14ac:dyDescent="0.35">
      <c r="A6" t="s">
        <v>16</v>
      </c>
      <c r="B6">
        <v>-0.27931975353906147</v>
      </c>
      <c r="C6">
        <v>-0.23572810207691391</v>
      </c>
      <c r="D6">
        <v>0.10820894636522876</v>
      </c>
      <c r="E6">
        <v>0.16560971812305453</v>
      </c>
      <c r="F6">
        <v>1</v>
      </c>
      <c r="G6">
        <v>0.10110871727694497</v>
      </c>
      <c r="H6">
        <v>0.1001906573115834</v>
      </c>
      <c r="I6">
        <v>0.28871743747190054</v>
      </c>
      <c r="J6">
        <v>0.11094912770381199</v>
      </c>
      <c r="K6">
        <v>-0.19527523932998717</v>
      </c>
      <c r="L6">
        <v>-3.8039131929545472E-2</v>
      </c>
      <c r="M6">
        <v>-0.11179857952670835</v>
      </c>
      <c r="N6">
        <v>-0.20449064243279386</v>
      </c>
      <c r="O6">
        <v>-0.31151614403465477</v>
      </c>
      <c r="P6">
        <v>-0.31585982801152918</v>
      </c>
      <c r="Q6">
        <v>-0.21278669680531573</v>
      </c>
      <c r="R6">
        <v>-0.22351065449392937</v>
      </c>
      <c r="S6">
        <v>-0.29255449752192114</v>
      </c>
      <c r="T6">
        <v>-0.12256067834372576</v>
      </c>
      <c r="U6">
        <v>-0.16505338074079023</v>
      </c>
      <c r="V6">
        <v>-0.10960100801984703</v>
      </c>
      <c r="W6">
        <v>-0.35264803088048025</v>
      </c>
      <c r="X6">
        <v>-0.23250009041770811</v>
      </c>
      <c r="Y6">
        <v>-0.11734465653893422</v>
      </c>
    </row>
    <row r="7" spans="1:25" x14ac:dyDescent="0.35">
      <c r="A7" t="s">
        <v>17</v>
      </c>
      <c r="B7">
        <v>-0.20810947225292958</v>
      </c>
      <c r="C7">
        <v>-0.18205529792462255</v>
      </c>
      <c r="D7">
        <v>0.22303927173298355</v>
      </c>
      <c r="E7">
        <v>0.23558550630661906</v>
      </c>
      <c r="F7">
        <v>0.10110871727694497</v>
      </c>
      <c r="G7">
        <v>1</v>
      </c>
      <c r="H7">
        <v>0.37027663669173477</v>
      </c>
      <c r="I7">
        <v>0.124284215200534</v>
      </c>
      <c r="J7">
        <v>0.10190045928330101</v>
      </c>
      <c r="K7">
        <v>-0.16344610677472787</v>
      </c>
      <c r="L7">
        <v>-0.23161274756541522</v>
      </c>
      <c r="M7">
        <v>-0.21109353073280449</v>
      </c>
      <c r="N7">
        <v>-0.23707206995346097</v>
      </c>
      <c r="O7">
        <v>-0.19407456596017342</v>
      </c>
      <c r="P7">
        <v>-0.1919183202305049</v>
      </c>
      <c r="Q7">
        <v>-0.23559486728768814</v>
      </c>
      <c r="R7">
        <v>-0.14065163807573336</v>
      </c>
      <c r="S7">
        <v>-0.2095371352477082</v>
      </c>
      <c r="T7">
        <v>3.8690654606986716E-2</v>
      </c>
      <c r="U7">
        <v>7.907579097011723E-3</v>
      </c>
      <c r="V7">
        <v>-0.30407737218393704</v>
      </c>
      <c r="W7">
        <v>-0.2713093946638398</v>
      </c>
      <c r="X7">
        <v>-2.2041819742590917E-2</v>
      </c>
      <c r="Y7">
        <v>0.17459228991078798</v>
      </c>
    </row>
    <row r="8" spans="1:25" x14ac:dyDescent="0.35">
      <c r="A8" t="s">
        <v>6</v>
      </c>
      <c r="B8">
        <v>-2.5416852475151255E-2</v>
      </c>
      <c r="C8">
        <v>7.3193062167803122E-2</v>
      </c>
      <c r="D8">
        <v>2.1396034684836994E-2</v>
      </c>
      <c r="E8">
        <v>-4.5205263593875084E-2</v>
      </c>
      <c r="F8">
        <v>0.1001906573115834</v>
      </c>
      <c r="G8">
        <v>0.37027663669173477</v>
      </c>
      <c r="H8">
        <v>1</v>
      </c>
      <c r="I8">
        <v>0.22114093881248453</v>
      </c>
      <c r="J8">
        <v>-4.6722536277585033E-2</v>
      </c>
      <c r="K8">
        <v>-0.16065179343834857</v>
      </c>
      <c r="L8">
        <v>-0.18377569437128904</v>
      </c>
      <c r="M8">
        <v>-0.23737101642240055</v>
      </c>
      <c r="N8">
        <v>-0.21692981375936451</v>
      </c>
      <c r="O8">
        <v>-0.1081194532434788</v>
      </c>
      <c r="P8">
        <v>-0.10724436521191956</v>
      </c>
      <c r="Q8">
        <v>3.6750903522399604E-2</v>
      </c>
      <c r="R8">
        <v>-5.7169431353954754E-2</v>
      </c>
      <c r="S8">
        <v>1.5342706889755888E-2</v>
      </c>
      <c r="T8">
        <v>8.5614420554239901E-2</v>
      </c>
      <c r="U8">
        <v>0.2649359560406177</v>
      </c>
      <c r="V8">
        <v>-0.21608737881929366</v>
      </c>
      <c r="W8">
        <v>-0.12506311266004591</v>
      </c>
      <c r="X8">
        <v>0.39057174826008223</v>
      </c>
      <c r="Y8">
        <v>9.5478040649182735E-2</v>
      </c>
    </row>
    <row r="9" spans="1:25" x14ac:dyDescent="0.35">
      <c r="A9" t="s">
        <v>7</v>
      </c>
      <c r="B9">
        <v>-0.13523930727231259</v>
      </c>
      <c r="C9">
        <v>-0.10440475656276034</v>
      </c>
      <c r="D9">
        <v>-0.14273360155258005</v>
      </c>
      <c r="E9">
        <v>-0.14227486250711011</v>
      </c>
      <c r="F9">
        <v>0.28871743747190054</v>
      </c>
      <c r="G9">
        <v>0.124284215200534</v>
      </c>
      <c r="H9">
        <v>0.22114093881248453</v>
      </c>
      <c r="I9">
        <v>1</v>
      </c>
      <c r="J9">
        <v>0.21810592716136434</v>
      </c>
      <c r="K9">
        <v>-8.7364545690519255E-2</v>
      </c>
      <c r="L9">
        <v>-8.8771657657507413E-2</v>
      </c>
      <c r="M9">
        <v>-0.22495813609020821</v>
      </c>
      <c r="N9">
        <v>-6.7053689431926231E-2</v>
      </c>
      <c r="O9">
        <v>-0.15762889953306275</v>
      </c>
      <c r="P9">
        <v>-9.2151167955793215E-2</v>
      </c>
      <c r="Q9">
        <v>-0.17605306743455834</v>
      </c>
      <c r="R9">
        <v>-8.5603917169484345E-2</v>
      </c>
      <c r="S9">
        <v>-0.41818184896662036</v>
      </c>
      <c r="T9">
        <v>-5.7496666942212449E-2</v>
      </c>
      <c r="U9">
        <v>7.6824480677144633E-2</v>
      </c>
      <c r="V9">
        <v>-0.16657717663147675</v>
      </c>
      <c r="W9">
        <v>-0.29761066217592647</v>
      </c>
      <c r="X9">
        <v>-0.10360636465320799</v>
      </c>
      <c r="Y9">
        <v>0.21240428840892692</v>
      </c>
    </row>
    <row r="10" spans="1:25" x14ac:dyDescent="0.35">
      <c r="A10" t="s">
        <v>4</v>
      </c>
      <c r="B10">
        <v>0.30354707225137673</v>
      </c>
      <c r="C10">
        <v>6.3935383382311542E-2</v>
      </c>
      <c r="D10">
        <v>4.8361372910586137E-3</v>
      </c>
      <c r="E10">
        <v>0.14095152049033774</v>
      </c>
      <c r="F10">
        <v>0.11094912770381199</v>
      </c>
      <c r="G10">
        <v>0.10190045928330101</v>
      </c>
      <c r="H10">
        <v>-4.6722536277585033E-2</v>
      </c>
      <c r="I10">
        <v>0.21810592716136434</v>
      </c>
      <c r="J10">
        <v>1</v>
      </c>
      <c r="K10">
        <v>0.3307544682591233</v>
      </c>
      <c r="L10">
        <v>0.26638991240684573</v>
      </c>
      <c r="M10">
        <v>0.25519539720448253</v>
      </c>
      <c r="N10">
        <v>7.7313042805552706E-2</v>
      </c>
      <c r="O10">
        <v>0.1123864882349299</v>
      </c>
      <c r="P10">
        <v>0.21557874208883401</v>
      </c>
      <c r="Q10">
        <v>-0.46909930611094586</v>
      </c>
      <c r="R10">
        <v>0.15144034702195885</v>
      </c>
      <c r="S10">
        <v>-1.8336379729597729E-2</v>
      </c>
      <c r="T10">
        <v>0.13591181924974083</v>
      </c>
      <c r="U10">
        <v>8.0567930228061177E-2</v>
      </c>
      <c r="V10">
        <v>0.17932156070414046</v>
      </c>
      <c r="W10">
        <v>5.0494732766323304E-3</v>
      </c>
      <c r="X10">
        <v>-1.3088212799560145E-3</v>
      </c>
      <c r="Y10">
        <v>3.6717447089090929E-2</v>
      </c>
    </row>
    <row r="11" spans="1:25" x14ac:dyDescent="0.35">
      <c r="A11" t="s">
        <v>15</v>
      </c>
      <c r="B11">
        <v>0.41266191954523884</v>
      </c>
      <c r="C11">
        <v>0.11690838963596367</v>
      </c>
      <c r="D11">
        <v>-8.0691644920910854E-2</v>
      </c>
      <c r="E11">
        <v>8.6284294810696806E-3</v>
      </c>
      <c r="F11">
        <v>-0.19527523932998717</v>
      </c>
      <c r="G11">
        <v>-0.16344610677472787</v>
      </c>
      <c r="H11">
        <v>-0.16065179343834857</v>
      </c>
      <c r="I11">
        <v>-8.7364545690519255E-2</v>
      </c>
      <c r="J11">
        <v>0.3307544682591233</v>
      </c>
      <c r="K11">
        <v>1</v>
      </c>
      <c r="L11">
        <v>0.38347490409435897</v>
      </c>
      <c r="M11">
        <v>0.51791863705657959</v>
      </c>
      <c r="N11">
        <v>0.29516994504592275</v>
      </c>
      <c r="O11">
        <v>0.39272096729891953</v>
      </c>
      <c r="P11">
        <v>0.25932483751573426</v>
      </c>
      <c r="Q11">
        <v>4.8049295435364958E-2</v>
      </c>
      <c r="R11">
        <v>0.11706096482752734</v>
      </c>
      <c r="S11">
        <v>0.42794195526187501</v>
      </c>
      <c r="T11">
        <v>8.5404103857007099E-2</v>
      </c>
      <c r="U11">
        <v>-6.8616021185301593E-2</v>
      </c>
      <c r="V11">
        <v>0.28359946356712445</v>
      </c>
      <c r="W11">
        <v>-4.1176175775333994E-2</v>
      </c>
      <c r="X11">
        <v>-7.3250153676209698E-2</v>
      </c>
      <c r="Y11">
        <v>0.37723969728420775</v>
      </c>
    </row>
    <row r="12" spans="1:25" x14ac:dyDescent="0.35">
      <c r="A12" t="s">
        <v>32</v>
      </c>
      <c r="B12">
        <v>0.53258676620735546</v>
      </c>
      <c r="C12">
        <v>0.42946523535041659</v>
      </c>
      <c r="D12">
        <v>-4.1104933560003817E-2</v>
      </c>
      <c r="E12">
        <v>2.8225577208703095E-2</v>
      </c>
      <c r="F12">
        <v>-3.8039131929545472E-2</v>
      </c>
      <c r="G12">
        <v>-0.23161274756541522</v>
      </c>
      <c r="H12">
        <v>-0.18377569437128904</v>
      </c>
      <c r="I12">
        <v>-8.8771657657507413E-2</v>
      </c>
      <c r="J12">
        <v>0.26638991240684573</v>
      </c>
      <c r="K12">
        <v>0.38347490409435897</v>
      </c>
      <c r="L12">
        <v>1</v>
      </c>
      <c r="M12">
        <v>0.50569065145192515</v>
      </c>
      <c r="N12">
        <v>0.34745058777567256</v>
      </c>
      <c r="O12">
        <v>0.5729933512050619</v>
      </c>
      <c r="P12">
        <v>0.431214180096054</v>
      </c>
      <c r="Q12">
        <v>0.13571326517473187</v>
      </c>
      <c r="R12">
        <v>0.50805869397649617</v>
      </c>
      <c r="S12">
        <v>0.18520688152757231</v>
      </c>
      <c r="T12">
        <v>0.4935273217314044</v>
      </c>
      <c r="U12">
        <v>0.14631498700780682</v>
      </c>
      <c r="V12">
        <v>0.36503875515535239</v>
      </c>
      <c r="W12">
        <v>0.23484859442864797</v>
      </c>
      <c r="X12">
        <v>0.19290057366993077</v>
      </c>
      <c r="Y12">
        <v>0.2722835504214739</v>
      </c>
    </row>
    <row r="13" spans="1:25" x14ac:dyDescent="0.35">
      <c r="A13" t="s">
        <v>33</v>
      </c>
      <c r="B13">
        <v>0.53548846146360052</v>
      </c>
      <c r="C13">
        <v>0.31449006963110271</v>
      </c>
      <c r="D13">
        <v>-7.5834026507512961E-2</v>
      </c>
      <c r="E13">
        <v>7.8437355825757657E-2</v>
      </c>
      <c r="F13">
        <v>-0.11179857952670835</v>
      </c>
      <c r="G13">
        <v>-0.21109353073280449</v>
      </c>
      <c r="H13">
        <v>-0.23737101642240055</v>
      </c>
      <c r="I13">
        <v>-0.22495813609020821</v>
      </c>
      <c r="J13">
        <v>0.25519539720448253</v>
      </c>
      <c r="K13">
        <v>0.51791863705657959</v>
      </c>
      <c r="L13">
        <v>0.50569065145192515</v>
      </c>
      <c r="M13">
        <v>1</v>
      </c>
      <c r="N13">
        <v>0.59030608113325811</v>
      </c>
      <c r="O13">
        <v>0.57174009993995401</v>
      </c>
      <c r="P13">
        <v>0.47697141280488459</v>
      </c>
      <c r="Q13">
        <v>6.8944885775119175E-2</v>
      </c>
      <c r="R13">
        <v>0.37446993460960404</v>
      </c>
      <c r="S13">
        <v>0.2890546601643405</v>
      </c>
      <c r="T13">
        <v>0.35377796129432365</v>
      </c>
      <c r="U13">
        <v>8.5220587662542206E-3</v>
      </c>
      <c r="V13">
        <v>0.35000672849860726</v>
      </c>
      <c r="W13">
        <v>0.4338643861326712</v>
      </c>
      <c r="X13">
        <v>-0.15100354661235474</v>
      </c>
      <c r="Y13">
        <v>0.59841951455102116</v>
      </c>
    </row>
    <row r="14" spans="1:25" x14ac:dyDescent="0.35">
      <c r="A14" t="s">
        <v>34</v>
      </c>
      <c r="B14">
        <v>0.51946423776882023</v>
      </c>
      <c r="C14">
        <v>0.38105096916843251</v>
      </c>
      <c r="D14">
        <v>-7.7393692311786499E-2</v>
      </c>
      <c r="E14">
        <v>-6.3825631592338047E-2</v>
      </c>
      <c r="F14">
        <v>-0.20449064243279386</v>
      </c>
      <c r="G14">
        <v>-0.23707206995346097</v>
      </c>
      <c r="H14">
        <v>-0.21692981375936451</v>
      </c>
      <c r="I14">
        <v>-6.7053689431926231E-2</v>
      </c>
      <c r="J14">
        <v>7.7313042805552706E-2</v>
      </c>
      <c r="K14">
        <v>0.29516994504592275</v>
      </c>
      <c r="L14">
        <v>0.34745058777567256</v>
      </c>
      <c r="M14">
        <v>0.59030608113325811</v>
      </c>
      <c r="N14">
        <v>1</v>
      </c>
      <c r="O14">
        <v>0.40914640141979663</v>
      </c>
      <c r="P14">
        <v>0.56872991696584807</v>
      </c>
      <c r="Q14">
        <v>0.16928373264528426</v>
      </c>
      <c r="R14">
        <v>0.30441341868875049</v>
      </c>
      <c r="S14">
        <v>0.20115308577311242</v>
      </c>
      <c r="T14">
        <v>0.25541396298323998</v>
      </c>
      <c r="U14">
        <v>1.7621339166959717E-2</v>
      </c>
      <c r="V14">
        <v>0.23219151480266575</v>
      </c>
      <c r="W14">
        <v>0.54596363076523458</v>
      </c>
      <c r="X14">
        <v>7.7097566656700603E-2</v>
      </c>
      <c r="Y14">
        <v>0.11634730932026469</v>
      </c>
    </row>
    <row r="15" spans="1:25" x14ac:dyDescent="0.35">
      <c r="A15" t="s">
        <v>35</v>
      </c>
      <c r="B15">
        <v>0.62712604448676712</v>
      </c>
      <c r="C15">
        <v>0.41207123120443728</v>
      </c>
      <c r="D15">
        <v>-3.4710828676619405E-2</v>
      </c>
      <c r="E15">
        <v>-9.7361046635635037E-2</v>
      </c>
      <c r="F15">
        <v>-0.31151614403465477</v>
      </c>
      <c r="G15">
        <v>-0.19407456596017342</v>
      </c>
      <c r="H15">
        <v>-0.1081194532434788</v>
      </c>
      <c r="I15">
        <v>-0.15762889953306275</v>
      </c>
      <c r="J15">
        <v>0.1123864882349299</v>
      </c>
      <c r="K15">
        <v>0.39272096729891953</v>
      </c>
      <c r="L15">
        <v>0.5729933512050619</v>
      </c>
      <c r="M15">
        <v>0.57174009993995401</v>
      </c>
      <c r="N15">
        <v>0.40914640141979663</v>
      </c>
      <c r="O15">
        <v>1</v>
      </c>
      <c r="P15">
        <v>0.52135394500104359</v>
      </c>
      <c r="Q15">
        <v>0.30232266344296488</v>
      </c>
      <c r="R15">
        <v>0.40323720225434112</v>
      </c>
      <c r="S15">
        <v>0.30930072171111045</v>
      </c>
      <c r="T15">
        <v>0.46952431063840155</v>
      </c>
      <c r="U15">
        <v>0.13794695902229273</v>
      </c>
      <c r="V15">
        <v>0.29325292627675414</v>
      </c>
      <c r="W15">
        <v>0.28829346863023392</v>
      </c>
      <c r="X15">
        <v>3.3980223630343157E-2</v>
      </c>
      <c r="Y15">
        <v>0.3053944098148319</v>
      </c>
    </row>
    <row r="16" spans="1:25" x14ac:dyDescent="0.35">
      <c r="A16" t="s">
        <v>1</v>
      </c>
      <c r="B16">
        <v>0.74551812441261112</v>
      </c>
      <c r="C16">
        <v>0.63672009790860806</v>
      </c>
      <c r="D16">
        <v>-1.6192839531846705E-4</v>
      </c>
      <c r="E16">
        <v>-8.3569824963701939E-2</v>
      </c>
      <c r="F16">
        <v>-0.31585982801152918</v>
      </c>
      <c r="G16">
        <v>-0.1919183202305049</v>
      </c>
      <c r="H16">
        <v>-0.10724436521191956</v>
      </c>
      <c r="I16">
        <v>-9.2151167955793215E-2</v>
      </c>
      <c r="J16">
        <v>0.21557874208883401</v>
      </c>
      <c r="K16">
        <v>0.25932483751573426</v>
      </c>
      <c r="L16">
        <v>0.431214180096054</v>
      </c>
      <c r="M16">
        <v>0.47697141280488459</v>
      </c>
      <c r="N16">
        <v>0.56872991696584807</v>
      </c>
      <c r="O16">
        <v>0.52135394500104359</v>
      </c>
      <c r="P16">
        <v>1</v>
      </c>
      <c r="Q16">
        <v>0.29120678188852855</v>
      </c>
      <c r="R16">
        <v>0.47990768066212658</v>
      </c>
      <c r="S16">
        <v>0.27858259055846785</v>
      </c>
      <c r="T16">
        <v>0.49074841857898699</v>
      </c>
      <c r="U16">
        <v>0.47917211689656586</v>
      </c>
      <c r="V16">
        <v>0.4571833260448373</v>
      </c>
      <c r="W16">
        <v>0.43601583376830988</v>
      </c>
      <c r="X16">
        <v>0.18722716040324314</v>
      </c>
      <c r="Y16">
        <v>0.30896782154638452</v>
      </c>
    </row>
    <row r="17" spans="1:25" x14ac:dyDescent="0.35">
      <c r="A17" t="s">
        <v>3</v>
      </c>
      <c r="B17">
        <v>0.3198580729487337</v>
      </c>
      <c r="C17">
        <v>0.28811793559961535</v>
      </c>
      <c r="D17">
        <v>-8.7837711620461195E-2</v>
      </c>
      <c r="E17">
        <v>-0.40304101377704793</v>
      </c>
      <c r="F17">
        <v>-0.21278669680531573</v>
      </c>
      <c r="G17">
        <v>-0.23559486728768814</v>
      </c>
      <c r="H17">
        <v>3.6750903522399604E-2</v>
      </c>
      <c r="I17">
        <v>-0.17605306743455834</v>
      </c>
      <c r="J17">
        <v>-0.46909930611094586</v>
      </c>
      <c r="K17">
        <v>4.8049295435364958E-2</v>
      </c>
      <c r="L17">
        <v>0.13571326517473187</v>
      </c>
      <c r="M17">
        <v>6.8944885775119175E-2</v>
      </c>
      <c r="N17">
        <v>0.16928373264528426</v>
      </c>
      <c r="O17">
        <v>0.30232266344296488</v>
      </c>
      <c r="P17">
        <v>0.29120678188852855</v>
      </c>
      <c r="Q17">
        <v>1</v>
      </c>
      <c r="R17">
        <v>0.1394528458054238</v>
      </c>
      <c r="S17">
        <v>0.13742968577075498</v>
      </c>
      <c r="T17">
        <v>0.22320126239115032</v>
      </c>
      <c r="U17">
        <v>0.10733239590062424</v>
      </c>
      <c r="V17">
        <v>0.13801690679789574</v>
      </c>
      <c r="W17">
        <v>0.24574792069877752</v>
      </c>
      <c r="X17">
        <v>0.13461725106644237</v>
      </c>
      <c r="Y17">
        <v>0.1302682479384322</v>
      </c>
    </row>
    <row r="18" spans="1:25" x14ac:dyDescent="0.35">
      <c r="A18" t="s">
        <v>5</v>
      </c>
      <c r="B18">
        <v>0.46054712875988479</v>
      </c>
      <c r="C18">
        <v>0.38790883585263242</v>
      </c>
      <c r="D18">
        <v>0.15323356014646761</v>
      </c>
      <c r="E18">
        <v>0.17979985172429233</v>
      </c>
      <c r="F18">
        <v>-0.22351065449392937</v>
      </c>
      <c r="G18">
        <v>-0.14065163807573336</v>
      </c>
      <c r="H18">
        <v>-5.7169431353954754E-2</v>
      </c>
      <c r="I18">
        <v>-8.5603917169484345E-2</v>
      </c>
      <c r="J18">
        <v>0.15144034702195885</v>
      </c>
      <c r="K18">
        <v>0.11706096482752734</v>
      </c>
      <c r="L18">
        <v>0.50805869397649617</v>
      </c>
      <c r="M18">
        <v>0.37446993460960404</v>
      </c>
      <c r="N18">
        <v>0.30441341868875049</v>
      </c>
      <c r="O18">
        <v>0.40323720225434112</v>
      </c>
      <c r="P18">
        <v>0.47990768066212658</v>
      </c>
      <c r="Q18">
        <v>0.1394528458054238</v>
      </c>
      <c r="R18">
        <v>1</v>
      </c>
      <c r="S18">
        <v>0.1060852184594737</v>
      </c>
      <c r="T18">
        <v>0.47383342267208334</v>
      </c>
      <c r="U18">
        <v>0.35429151538773745</v>
      </c>
      <c r="V18">
        <v>0.15134518491753587</v>
      </c>
      <c r="W18">
        <v>0.51992835539265725</v>
      </c>
      <c r="X18">
        <v>0.1538921335163719</v>
      </c>
      <c r="Y18">
        <v>-8.288599955794955E-2</v>
      </c>
    </row>
    <row r="19" spans="1:25" x14ac:dyDescent="0.35">
      <c r="A19" t="s">
        <v>8</v>
      </c>
      <c r="B19">
        <v>0.45898905373136001</v>
      </c>
      <c r="C19">
        <v>0.41444586663921618</v>
      </c>
      <c r="D19">
        <v>-5.6368020840186911E-2</v>
      </c>
      <c r="E19">
        <v>-0.21079285644658399</v>
      </c>
      <c r="F19">
        <v>-0.29255449752192114</v>
      </c>
      <c r="G19">
        <v>-0.2095371352477082</v>
      </c>
      <c r="H19">
        <v>1.5342706889755888E-2</v>
      </c>
      <c r="I19">
        <v>-0.41818184896662036</v>
      </c>
      <c r="J19">
        <v>-1.8336379729597729E-2</v>
      </c>
      <c r="K19">
        <v>0.42794195526187501</v>
      </c>
      <c r="L19">
        <v>0.18520688152757231</v>
      </c>
      <c r="M19">
        <v>0.2890546601643405</v>
      </c>
      <c r="N19">
        <v>0.20115308577311242</v>
      </c>
      <c r="O19">
        <v>0.30930072171111045</v>
      </c>
      <c r="P19">
        <v>0.27858259055846785</v>
      </c>
      <c r="Q19">
        <v>0.13742968577075498</v>
      </c>
      <c r="R19">
        <v>0.1060852184594737</v>
      </c>
      <c r="S19">
        <v>1</v>
      </c>
      <c r="T19">
        <v>0.28129445202109166</v>
      </c>
      <c r="U19">
        <v>0.30327262601542249</v>
      </c>
      <c r="V19">
        <v>0.33998170740336497</v>
      </c>
      <c r="W19">
        <v>0.2563218567078861</v>
      </c>
      <c r="X19">
        <v>0.25640421169282113</v>
      </c>
      <c r="Y19">
        <v>0.33345122144146905</v>
      </c>
    </row>
    <row r="20" spans="1:25" x14ac:dyDescent="0.35">
      <c r="A20" t="s">
        <v>9</v>
      </c>
      <c r="B20">
        <v>0.55127729065353903</v>
      </c>
      <c r="C20">
        <v>0.47441932224668459</v>
      </c>
      <c r="D20">
        <v>-5.6572420196254691E-2</v>
      </c>
      <c r="E20">
        <v>-0.17756211491776494</v>
      </c>
      <c r="F20">
        <v>-0.12256067834372576</v>
      </c>
      <c r="G20">
        <v>3.8690654606986716E-2</v>
      </c>
      <c r="H20">
        <v>8.5614420554239901E-2</v>
      </c>
      <c r="I20">
        <v>-5.7496666942212449E-2</v>
      </c>
      <c r="J20">
        <v>0.13591181924974083</v>
      </c>
      <c r="K20">
        <v>8.5404103857007099E-2</v>
      </c>
      <c r="L20">
        <v>0.4935273217314044</v>
      </c>
      <c r="M20">
        <v>0.35377796129432365</v>
      </c>
      <c r="N20">
        <v>0.25541396298323998</v>
      </c>
      <c r="O20">
        <v>0.46952431063840155</v>
      </c>
      <c r="P20">
        <v>0.49074841857898699</v>
      </c>
      <c r="Q20">
        <v>0.22320126239115032</v>
      </c>
      <c r="R20">
        <v>0.47383342267208334</v>
      </c>
      <c r="S20">
        <v>0.28129445202109166</v>
      </c>
      <c r="T20">
        <v>1</v>
      </c>
      <c r="U20">
        <v>0.5101895967831388</v>
      </c>
      <c r="V20">
        <v>0.23538031935343121</v>
      </c>
      <c r="W20">
        <v>0.58577575127018233</v>
      </c>
      <c r="X20">
        <v>0.14578434869277973</v>
      </c>
      <c r="Y20">
        <v>0.15972164468834896</v>
      </c>
    </row>
    <row r="21" spans="1:25" x14ac:dyDescent="0.35">
      <c r="A21" t="s">
        <v>2</v>
      </c>
      <c r="B21">
        <v>0.49685901606887539</v>
      </c>
      <c r="C21">
        <v>0.69296514144965549</v>
      </c>
      <c r="D21">
        <v>-5.7384836090122182E-2</v>
      </c>
      <c r="E21">
        <v>-0.18617251900560691</v>
      </c>
      <c r="F21">
        <v>-0.16505338074079023</v>
      </c>
      <c r="G21">
        <v>7.907579097011723E-3</v>
      </c>
      <c r="H21">
        <v>0.2649359560406177</v>
      </c>
      <c r="I21">
        <v>7.6824480677144633E-2</v>
      </c>
      <c r="J21">
        <v>8.0567930228061177E-2</v>
      </c>
      <c r="K21">
        <v>-6.8616021185301593E-2</v>
      </c>
      <c r="L21">
        <v>0.14631498700780682</v>
      </c>
      <c r="M21">
        <v>8.5220587662542206E-3</v>
      </c>
      <c r="N21">
        <v>1.7621339166959717E-2</v>
      </c>
      <c r="O21">
        <v>0.13794695902229273</v>
      </c>
      <c r="P21">
        <v>0.47917211689656586</v>
      </c>
      <c r="Q21">
        <v>0.10733239590062424</v>
      </c>
      <c r="R21">
        <v>0.35429151538773745</v>
      </c>
      <c r="S21">
        <v>0.30327262601542249</v>
      </c>
      <c r="T21">
        <v>0.5101895967831388</v>
      </c>
      <c r="U21">
        <v>1</v>
      </c>
      <c r="V21">
        <v>0.39460027515900753</v>
      </c>
      <c r="W21">
        <v>0.21892242810844226</v>
      </c>
      <c r="X21">
        <v>0.14143060345825328</v>
      </c>
      <c r="Y21">
        <v>0.14271791309352738</v>
      </c>
    </row>
    <row r="22" spans="1:25" x14ac:dyDescent="0.35">
      <c r="A22" t="s">
        <v>11</v>
      </c>
      <c r="B22">
        <v>0.59953487761186441</v>
      </c>
      <c r="C22">
        <v>0.60482824363811083</v>
      </c>
      <c r="D22">
        <v>-6.1696409162649686E-2</v>
      </c>
      <c r="E22">
        <v>-0.12011692867495195</v>
      </c>
      <c r="F22">
        <v>-0.10960100801984703</v>
      </c>
      <c r="G22">
        <v>-0.30407737218393704</v>
      </c>
      <c r="H22">
        <v>-0.21608737881929366</v>
      </c>
      <c r="I22">
        <v>-0.16657717663147675</v>
      </c>
      <c r="J22">
        <v>0.17932156070414046</v>
      </c>
      <c r="K22">
        <v>0.28359946356712445</v>
      </c>
      <c r="L22">
        <v>0.36503875515535239</v>
      </c>
      <c r="M22">
        <v>0.35000672849860726</v>
      </c>
      <c r="N22">
        <v>0.23219151480266575</v>
      </c>
      <c r="O22">
        <v>0.29325292627675414</v>
      </c>
      <c r="P22">
        <v>0.4571833260448373</v>
      </c>
      <c r="Q22">
        <v>0.13801690679789574</v>
      </c>
      <c r="R22">
        <v>0.15134518491753587</v>
      </c>
      <c r="S22">
        <v>0.33998170740336497</v>
      </c>
      <c r="T22">
        <v>0.23538031935343121</v>
      </c>
      <c r="U22">
        <v>0.39460027515900753</v>
      </c>
      <c r="V22">
        <v>1</v>
      </c>
      <c r="W22">
        <v>0.22400639429719846</v>
      </c>
      <c r="X22">
        <v>-1.6021322228722448E-2</v>
      </c>
      <c r="Y22">
        <v>2.2430892740699527E-2</v>
      </c>
    </row>
    <row r="23" spans="1:25" x14ac:dyDescent="0.35">
      <c r="A23" t="s">
        <v>67</v>
      </c>
      <c r="B23">
        <v>0.55681965825571778</v>
      </c>
      <c r="C23">
        <v>0.55397482596554282</v>
      </c>
      <c r="D23">
        <v>-0.20938874615553679</v>
      </c>
      <c r="E23">
        <v>-0.38571776275833691</v>
      </c>
      <c r="F23">
        <v>-0.35264803088048025</v>
      </c>
      <c r="G23">
        <v>-0.2713093946638398</v>
      </c>
      <c r="H23">
        <v>-0.12506311266004591</v>
      </c>
      <c r="I23">
        <v>-0.29761066217592647</v>
      </c>
      <c r="J23">
        <v>5.0494732766323304E-3</v>
      </c>
      <c r="K23">
        <v>-4.1176175775333994E-2</v>
      </c>
      <c r="L23">
        <v>0.23484859442864797</v>
      </c>
      <c r="M23">
        <v>0.4338643861326712</v>
      </c>
      <c r="N23">
        <v>0.54596363076523458</v>
      </c>
      <c r="O23">
        <v>0.28829346863023392</v>
      </c>
      <c r="P23">
        <v>0.43601583376830988</v>
      </c>
      <c r="Q23">
        <v>0.24574792069877752</v>
      </c>
      <c r="R23">
        <v>0.51992835539265725</v>
      </c>
      <c r="S23">
        <v>0.2563218567078861</v>
      </c>
      <c r="T23">
        <v>0.58577575127018233</v>
      </c>
      <c r="U23">
        <v>0.21892242810844226</v>
      </c>
      <c r="V23">
        <v>0.22400639429719846</v>
      </c>
      <c r="W23">
        <v>1</v>
      </c>
      <c r="X23">
        <v>0.41044947679593946</v>
      </c>
      <c r="Y23">
        <v>-0.1314222641464485</v>
      </c>
    </row>
    <row r="24" spans="1:25" x14ac:dyDescent="0.35">
      <c r="A24" t="s">
        <v>68</v>
      </c>
      <c r="B24">
        <v>0.26794053392711403</v>
      </c>
      <c r="C24">
        <v>0.4235912870085608</v>
      </c>
      <c r="D24">
        <v>-0.12948912331910967</v>
      </c>
      <c r="E24">
        <v>-0.31066097506185214</v>
      </c>
      <c r="F24">
        <v>-0.23250009041770811</v>
      </c>
      <c r="G24">
        <v>-2.2041819742590917E-2</v>
      </c>
      <c r="H24">
        <v>0.39057174826008223</v>
      </c>
      <c r="I24">
        <v>-0.10360636465320799</v>
      </c>
      <c r="J24">
        <v>-1.3088212799560145E-3</v>
      </c>
      <c r="K24">
        <v>-7.3250153676209698E-2</v>
      </c>
      <c r="L24">
        <v>0.19290057366993077</v>
      </c>
      <c r="M24">
        <v>-0.15100354661235474</v>
      </c>
      <c r="N24">
        <v>7.7097566656700603E-2</v>
      </c>
      <c r="O24">
        <v>3.3980223630343157E-2</v>
      </c>
      <c r="P24">
        <v>0.18722716040324314</v>
      </c>
      <c r="Q24">
        <v>0.13461725106644237</v>
      </c>
      <c r="R24">
        <v>0.1538921335163719</v>
      </c>
      <c r="S24">
        <v>0.25640421169282113</v>
      </c>
      <c r="T24">
        <v>0.14578434869277973</v>
      </c>
      <c r="U24">
        <v>0.14143060345825328</v>
      </c>
      <c r="V24">
        <v>-1.6021322228722448E-2</v>
      </c>
      <c r="W24">
        <v>0.41044947679593946</v>
      </c>
      <c r="X24">
        <v>1</v>
      </c>
      <c r="Y24">
        <v>0.15786131986317545</v>
      </c>
    </row>
    <row r="25" spans="1:25" ht="15" thickBot="1" x14ac:dyDescent="0.4">
      <c r="A25" s="31" t="s">
        <v>36</v>
      </c>
      <c r="B25" s="31">
        <v>0.25707577185495117</v>
      </c>
      <c r="C25" s="31">
        <v>0.24702204595537897</v>
      </c>
      <c r="D25" s="31">
        <v>-0.13569689318052311</v>
      </c>
      <c r="E25" s="31">
        <v>-0.13279135254598673</v>
      </c>
      <c r="F25" s="31">
        <v>-0.11734465653893422</v>
      </c>
      <c r="G25" s="31">
        <v>0.17459228991078798</v>
      </c>
      <c r="H25" s="31">
        <v>9.5478040649182735E-2</v>
      </c>
      <c r="I25" s="31">
        <v>0.21240428840892692</v>
      </c>
      <c r="J25" s="31">
        <v>3.6717447089090929E-2</v>
      </c>
      <c r="K25" s="31">
        <v>0.37723969728420775</v>
      </c>
      <c r="L25" s="31">
        <v>0.2722835504214739</v>
      </c>
      <c r="M25" s="31">
        <v>0.59841951455102116</v>
      </c>
      <c r="N25" s="31">
        <v>0.11634730932026469</v>
      </c>
      <c r="O25" s="31">
        <v>0.3053944098148319</v>
      </c>
      <c r="P25" s="31">
        <v>0.30896782154638452</v>
      </c>
      <c r="Q25" s="31">
        <v>0.1302682479384322</v>
      </c>
      <c r="R25" s="31">
        <v>-8.288599955794955E-2</v>
      </c>
      <c r="S25" s="31">
        <v>0.33345122144146905</v>
      </c>
      <c r="T25" s="31">
        <v>0.15972164468834896</v>
      </c>
      <c r="U25" s="31">
        <v>0.14271791309352738</v>
      </c>
      <c r="V25" s="31">
        <v>2.2430892740699527E-2</v>
      </c>
      <c r="W25" s="31">
        <v>-0.1314222641464485</v>
      </c>
      <c r="X25" s="31">
        <v>0.15786131986317545</v>
      </c>
      <c r="Y25" s="31">
        <v>1</v>
      </c>
    </row>
    <row r="52" spans="2:25" ht="15" thickBot="1" x14ac:dyDescent="0.4">
      <c r="B52" s="31"/>
      <c r="C52" s="31"/>
      <c r="D52" s="31"/>
      <c r="E52" s="31"/>
      <c r="F52" s="31"/>
      <c r="G52" s="31"/>
      <c r="H52" s="31"/>
      <c r="I52" s="31"/>
      <c r="J52" s="31"/>
      <c r="K52" s="31"/>
      <c r="L52" s="31"/>
      <c r="M52" s="31"/>
      <c r="N52" s="31"/>
      <c r="O52" s="31"/>
      <c r="P52" s="31"/>
      <c r="Q52" s="31"/>
      <c r="R52" s="31"/>
      <c r="S52" s="31"/>
      <c r="T52" s="31"/>
      <c r="U52" s="31"/>
      <c r="V52" s="31"/>
      <c r="W52" s="31"/>
      <c r="X52" s="31"/>
      <c r="Y52" s="31"/>
    </row>
  </sheetData>
  <conditionalFormatting sqref="B2:Y25">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M51"/>
  <sheetViews>
    <sheetView zoomScale="68" workbookViewId="0">
      <pane ySplit="1" topLeftCell="A2" activePane="bottomLeft" state="frozen"/>
      <selection pane="bottomLeft" activeCell="AJ33" sqref="AJ33"/>
    </sheetView>
  </sheetViews>
  <sheetFormatPr defaultColWidth="9.1796875" defaultRowHeight="14.5" x14ac:dyDescent="0.35"/>
  <cols>
    <col min="1" max="1" width="5" bestFit="1" customWidth="1"/>
    <col min="2" max="2" width="8" bestFit="1" customWidth="1"/>
    <col min="3" max="3" width="6.36328125" bestFit="1" customWidth="1"/>
    <col min="4" max="5" width="10.6328125" bestFit="1" customWidth="1"/>
    <col min="6" max="6" width="6.36328125" bestFit="1" customWidth="1"/>
    <col min="7" max="7" width="7.36328125" bestFit="1" customWidth="1"/>
    <col min="8" max="8" width="6.36328125" bestFit="1" customWidth="1"/>
    <col min="9" max="9" width="7.1796875" bestFit="1" customWidth="1"/>
    <col min="10" max="14" width="6.36328125" bestFit="1" customWidth="1"/>
    <col min="15" max="15" width="6" customWidth="1"/>
    <col min="16" max="16" width="6.36328125" bestFit="1" customWidth="1"/>
    <col min="17" max="17" width="7.1796875" bestFit="1" customWidth="1"/>
    <col min="18" max="22" width="6.36328125" bestFit="1" customWidth="1"/>
    <col min="23" max="23" width="7.1796875" customWidth="1"/>
    <col min="24" max="24" width="6.36328125" bestFit="1" customWidth="1"/>
    <col min="25" max="25" width="7" bestFit="1" customWidth="1"/>
    <col min="30" max="30" width="11.1796875" bestFit="1" customWidth="1"/>
    <col min="32" max="32" width="18.81640625" bestFit="1" customWidth="1"/>
  </cols>
  <sheetData>
    <row r="1" spans="1:39" x14ac:dyDescent="0.35">
      <c r="A1" s="1" t="s">
        <v>0</v>
      </c>
      <c r="B1" s="21" t="s">
        <v>12</v>
      </c>
      <c r="C1" s="21" t="s">
        <v>10</v>
      </c>
      <c r="D1" s="1" t="s">
        <v>14</v>
      </c>
      <c r="E1" s="1" t="s">
        <v>13</v>
      </c>
      <c r="F1" s="1" t="s">
        <v>16</v>
      </c>
      <c r="G1" s="1" t="s">
        <v>17</v>
      </c>
      <c r="H1" s="1" t="s">
        <v>6</v>
      </c>
      <c r="I1" s="1" t="s">
        <v>7</v>
      </c>
      <c r="J1" s="1" t="s">
        <v>4</v>
      </c>
      <c r="K1" s="1" t="s">
        <v>15</v>
      </c>
      <c r="L1" s="1" t="s">
        <v>32</v>
      </c>
      <c r="M1" s="1" t="s">
        <v>33</v>
      </c>
      <c r="N1" s="1" t="s">
        <v>34</v>
      </c>
      <c r="O1" s="1" t="s">
        <v>35</v>
      </c>
      <c r="P1" s="1" t="s">
        <v>1</v>
      </c>
      <c r="Q1" s="1" t="s">
        <v>3</v>
      </c>
      <c r="R1" s="1" t="s">
        <v>5</v>
      </c>
      <c r="S1" s="1" t="s">
        <v>8</v>
      </c>
      <c r="T1" s="1" t="s">
        <v>9</v>
      </c>
      <c r="U1" s="1" t="s">
        <v>2</v>
      </c>
      <c r="V1" s="1" t="s">
        <v>11</v>
      </c>
      <c r="W1" s="23" t="s">
        <v>67</v>
      </c>
      <c r="X1" s="23" t="s">
        <v>68</v>
      </c>
      <c r="Y1" s="1" t="s">
        <v>36</v>
      </c>
    </row>
    <row r="2" spans="1:39" x14ac:dyDescent="0.35">
      <c r="A2" s="29">
        <v>1975</v>
      </c>
      <c r="B2" s="30">
        <v>0.37</v>
      </c>
      <c r="C2" s="30">
        <v>0.29759999999999998</v>
      </c>
      <c r="D2" s="30">
        <v>5.9900000000000002E-2</v>
      </c>
      <c r="E2" s="30">
        <v>3.61E-2</v>
      </c>
      <c r="F2" s="30">
        <v>-7.534246575342457E-2</v>
      </c>
      <c r="G2" s="30">
        <v>-9.9300699300699222E-2</v>
      </c>
      <c r="H2" s="30">
        <v>-0.24199999999999999</v>
      </c>
      <c r="I2" s="30">
        <v>0.11644832605531293</v>
      </c>
      <c r="J2" s="30">
        <v>0.37330000000000002</v>
      </c>
      <c r="K2" s="30">
        <v>0.2414</v>
      </c>
      <c r="L2" s="30">
        <v>0.98719999999999997</v>
      </c>
      <c r="M2" s="30">
        <v>0.55189999999999995</v>
      </c>
      <c r="N2" s="30">
        <v>9.1999999999999998E-2</v>
      </c>
      <c r="O2" s="30">
        <v>1.3332999999999999</v>
      </c>
      <c r="P2" s="30">
        <v>0.38200000000000001</v>
      </c>
      <c r="Q2" s="30">
        <v>0.62560000000000004</v>
      </c>
      <c r="R2" s="30">
        <v>1.7632000000000001</v>
      </c>
      <c r="S2" s="30">
        <v>0.31840000000000002</v>
      </c>
      <c r="T2" s="30">
        <v>2.2222</v>
      </c>
      <c r="U2" s="30">
        <v>0.5</v>
      </c>
      <c r="V2" s="30">
        <v>3.8600000000000002E-2</v>
      </c>
      <c r="W2" s="30"/>
      <c r="X2" s="30"/>
      <c r="Y2" s="30"/>
      <c r="AD2" t="s">
        <v>72</v>
      </c>
      <c r="AE2" t="s">
        <v>73</v>
      </c>
      <c r="AG2" s="25" t="s">
        <v>95</v>
      </c>
      <c r="AH2" s="27" t="s">
        <v>96</v>
      </c>
      <c r="AL2" t="s">
        <v>72</v>
      </c>
      <c r="AM2" t="s">
        <v>73</v>
      </c>
    </row>
    <row r="3" spans="1:39" x14ac:dyDescent="0.35">
      <c r="A3" s="29">
        <v>1976</v>
      </c>
      <c r="B3" s="30">
        <v>0.23830000000000001</v>
      </c>
      <c r="C3" s="30">
        <v>0.26100000000000001</v>
      </c>
      <c r="D3" s="30">
        <v>4.9700000000000001E-2</v>
      </c>
      <c r="E3" s="30">
        <v>0.1598</v>
      </c>
      <c r="F3" s="30">
        <v>-7.7777777777777765E-2</v>
      </c>
      <c r="G3" s="30">
        <v>5.1552795031055788E-2</v>
      </c>
      <c r="H3" s="30">
        <v>-3.9600000000000003E-2</v>
      </c>
      <c r="I3" s="30">
        <v>6.779661016949147E-2</v>
      </c>
      <c r="J3" s="30">
        <v>0.20849999999999999</v>
      </c>
      <c r="K3" s="30">
        <v>-0.1278</v>
      </c>
      <c r="L3" s="30">
        <v>-8.5699999999999998E-2</v>
      </c>
      <c r="M3" s="30">
        <v>-3.95E-2</v>
      </c>
      <c r="N3" s="30">
        <v>5.1999999999999998E-2</v>
      </c>
      <c r="O3" s="30">
        <v>-5.2600000000000001E-2</v>
      </c>
      <c r="P3" s="30">
        <v>0.20599999999999999</v>
      </c>
      <c r="Q3" s="30">
        <v>0.19089999999999999</v>
      </c>
      <c r="R3" s="30">
        <v>0.18099999999999999</v>
      </c>
      <c r="S3" s="30">
        <v>0.3977</v>
      </c>
      <c r="T3" s="30">
        <v>0.22070000000000001</v>
      </c>
      <c r="U3" s="30">
        <v>0.71499999999999997</v>
      </c>
      <c r="V3" s="30">
        <v>0.41739999999999999</v>
      </c>
      <c r="W3" s="30"/>
      <c r="X3" s="30"/>
      <c r="Y3" s="30"/>
      <c r="AB3" s="24"/>
      <c r="AC3" s="24"/>
      <c r="AD3" t="s">
        <v>74</v>
      </c>
      <c r="AE3" t="s">
        <v>75</v>
      </c>
      <c r="AG3" s="25" t="s">
        <v>10</v>
      </c>
      <c r="AH3" s="26" t="s">
        <v>92</v>
      </c>
      <c r="AI3" s="16"/>
      <c r="AL3" t="s">
        <v>74</v>
      </c>
      <c r="AM3" t="s">
        <v>75</v>
      </c>
    </row>
    <row r="4" spans="1:39" x14ac:dyDescent="0.35">
      <c r="A4" s="29">
        <v>1977</v>
      </c>
      <c r="B4" s="30">
        <v>-6.9800000000000001E-2</v>
      </c>
      <c r="C4" s="30">
        <v>7.3300000000000004E-2</v>
      </c>
      <c r="D4" s="30">
        <v>5.1299999999999998E-2</v>
      </c>
      <c r="E4" s="30">
        <v>1.29E-2</v>
      </c>
      <c r="F4" s="30">
        <v>-0.18473895582329333</v>
      </c>
      <c r="G4" s="30">
        <v>1.8310691080921367E-2</v>
      </c>
      <c r="H4" s="30">
        <v>0.20430000000000001</v>
      </c>
      <c r="I4" s="30">
        <v>4.6398046398046497E-2</v>
      </c>
      <c r="J4" s="30">
        <v>-0.1026</v>
      </c>
      <c r="K4" s="30">
        <v>-4.4600000000000001E-2</v>
      </c>
      <c r="L4" s="30">
        <v>-3.5099999999999999E-2</v>
      </c>
      <c r="M4" s="30">
        <v>-5.7000000000000002E-2</v>
      </c>
      <c r="N4" s="30">
        <v>-8.2799999999999999E-2</v>
      </c>
      <c r="O4" s="30">
        <v>-0.15340000000000001</v>
      </c>
      <c r="P4" s="30">
        <v>-0.10340000000000001</v>
      </c>
      <c r="Q4" s="30">
        <v>0.15010000000000001</v>
      </c>
      <c r="R4" s="30">
        <v>0.30649999999999999</v>
      </c>
      <c r="S4" s="30">
        <v>-7.0099999999999996E-2</v>
      </c>
      <c r="T4" s="30">
        <v>-0.23730000000000001</v>
      </c>
      <c r="U4" s="30">
        <v>0.54020000000000001</v>
      </c>
      <c r="V4" s="30">
        <v>-8.6999999999999994E-3</v>
      </c>
      <c r="W4" s="30"/>
      <c r="X4" s="30"/>
      <c r="Y4" s="30"/>
      <c r="AB4" s="24"/>
      <c r="AC4" s="25"/>
      <c r="AD4" s="25" t="s">
        <v>3</v>
      </c>
      <c r="AE4" s="24" t="s">
        <v>76</v>
      </c>
      <c r="AF4" s="24"/>
      <c r="AL4" t="s">
        <v>3</v>
      </c>
      <c r="AM4" t="s">
        <v>76</v>
      </c>
    </row>
    <row r="5" spans="1:39" x14ac:dyDescent="0.35">
      <c r="A5" s="29">
        <v>1978</v>
      </c>
      <c r="B5" s="30">
        <v>6.5100000000000005E-2</v>
      </c>
      <c r="C5" s="30">
        <v>0.1231</v>
      </c>
      <c r="D5" s="30">
        <v>6.93E-2</v>
      </c>
      <c r="E5" s="30">
        <v>-7.7999999999999996E-3</v>
      </c>
      <c r="F5" s="30">
        <v>3.44827586206898E-2</v>
      </c>
      <c r="G5" s="30">
        <v>0.40748259860788877</v>
      </c>
      <c r="H5" s="30">
        <v>0.29170000000000001</v>
      </c>
      <c r="I5" s="30">
        <v>5.0175029171528551E-2</v>
      </c>
      <c r="J5" s="30">
        <v>2.0799999999999999E-2</v>
      </c>
      <c r="K5" s="30">
        <v>-0.1067</v>
      </c>
      <c r="L5" s="30">
        <v>-1.0189999999999999E-2</v>
      </c>
      <c r="M5" s="30">
        <v>0.1779</v>
      </c>
      <c r="N5" s="30">
        <v>3.49E-2</v>
      </c>
      <c r="O5" s="30">
        <v>3.0999999999999999E-3</v>
      </c>
      <c r="P5" s="30">
        <v>-5.5100000000000003E-2</v>
      </c>
      <c r="Q5" s="30">
        <v>0.19470000000000001</v>
      </c>
      <c r="R5" s="30">
        <v>0.1235</v>
      </c>
      <c r="S5" s="30">
        <v>-7.9200000000000007E-2</v>
      </c>
      <c r="T5" s="30">
        <v>0.375</v>
      </c>
      <c r="U5" s="30">
        <v>0.2</v>
      </c>
      <c r="V5" s="30">
        <v>-0.1206</v>
      </c>
      <c r="W5" s="30"/>
      <c r="X5" s="30"/>
      <c r="Y5" s="30"/>
      <c r="AB5" s="24"/>
      <c r="AC5" s="25"/>
      <c r="AD5" s="25" t="s">
        <v>2</v>
      </c>
      <c r="AE5" s="26" t="s">
        <v>77</v>
      </c>
      <c r="AF5" s="16"/>
      <c r="AL5" t="s">
        <v>2</v>
      </c>
      <c r="AM5" t="s">
        <v>77</v>
      </c>
    </row>
    <row r="6" spans="1:39" x14ac:dyDescent="0.35">
      <c r="A6" s="29">
        <v>1979</v>
      </c>
      <c r="B6" s="30">
        <v>0.1852</v>
      </c>
      <c r="C6" s="30">
        <v>0.28110000000000002</v>
      </c>
      <c r="D6" s="30">
        <v>9.9400000000000002E-2</v>
      </c>
      <c r="E6" s="30">
        <v>6.7000000000000002E-3</v>
      </c>
      <c r="F6" s="30">
        <v>0.1238095238095237</v>
      </c>
      <c r="G6" s="30">
        <v>0.36513496806099316</v>
      </c>
      <c r="H6" s="30">
        <v>1.2057</v>
      </c>
      <c r="I6" s="30">
        <v>0.4044444444444445</v>
      </c>
      <c r="J6" s="30">
        <v>0.1221</v>
      </c>
      <c r="K6" s="30">
        <v>-0.20150000000000001</v>
      </c>
      <c r="L6" s="30">
        <v>-6.2199999999999998E-2</v>
      </c>
      <c r="M6" s="30">
        <v>-0.2137</v>
      </c>
      <c r="N6" s="30">
        <v>-0.1646</v>
      </c>
      <c r="O6" s="30">
        <v>0.11840000000000001</v>
      </c>
      <c r="P6" s="30">
        <v>7.4300000000000005E-2</v>
      </c>
      <c r="Q6" s="30">
        <v>0.2185</v>
      </c>
      <c r="R6" s="30">
        <v>0.52749999999999997</v>
      </c>
      <c r="S6" s="30">
        <v>-0.2404</v>
      </c>
      <c r="T6" s="30">
        <v>1.0455000000000001</v>
      </c>
      <c r="U6" s="30">
        <v>1.3332999999999999</v>
      </c>
      <c r="V6" s="30">
        <v>-2.01E-2</v>
      </c>
      <c r="W6" s="30"/>
      <c r="X6" s="30"/>
      <c r="Y6" s="30"/>
      <c r="AB6" s="24"/>
      <c r="AC6" s="25"/>
      <c r="AD6" s="25" t="s">
        <v>68</v>
      </c>
      <c r="AE6" s="27" t="s">
        <v>78</v>
      </c>
      <c r="AF6" s="16"/>
      <c r="AL6" t="s">
        <v>68</v>
      </c>
      <c r="AM6" t="s">
        <v>78</v>
      </c>
    </row>
    <row r="7" spans="1:39" x14ac:dyDescent="0.35">
      <c r="A7" s="29">
        <v>1980</v>
      </c>
      <c r="B7" s="30">
        <v>0.31740000000000002</v>
      </c>
      <c r="C7" s="30">
        <v>0.33879999999999999</v>
      </c>
      <c r="D7" s="30">
        <v>0.11219999999999999</v>
      </c>
      <c r="E7" s="30">
        <v>-2.9899999999999999E-2</v>
      </c>
      <c r="F7" s="30">
        <v>0.14406779661016964</v>
      </c>
      <c r="G7" s="30">
        <v>-5.6905660377358537E-2</v>
      </c>
      <c r="H7" s="30">
        <v>0.29609999999999997</v>
      </c>
      <c r="I7" s="30">
        <v>0.70806962025316444</v>
      </c>
      <c r="J7" s="30">
        <v>0.46260000000000001</v>
      </c>
      <c r="K7" s="30">
        <v>-4.6699999999999998E-2</v>
      </c>
      <c r="L7" s="30">
        <v>0.1239</v>
      </c>
      <c r="M7" s="30">
        <v>-3.2599999999999997E-2</v>
      </c>
      <c r="N7" s="30">
        <v>-7.2400000000000006E-2</v>
      </c>
      <c r="O7" s="30">
        <v>0.1421</v>
      </c>
      <c r="P7" s="30">
        <v>0.2099</v>
      </c>
      <c r="Q7" s="30">
        <v>0.37390000000000001</v>
      </c>
      <c r="R7" s="30">
        <v>0.74099999999999999</v>
      </c>
      <c r="S7" s="30">
        <v>-0.375</v>
      </c>
      <c r="T7" s="30">
        <v>0.19259999999999999</v>
      </c>
      <c r="U7" s="30">
        <v>1.0143</v>
      </c>
      <c r="V7" s="30">
        <v>0.1638</v>
      </c>
      <c r="W7" s="30"/>
      <c r="X7" s="30"/>
      <c r="Y7" s="30"/>
      <c r="AB7" s="24"/>
      <c r="AC7" s="25"/>
      <c r="AD7" s="25" t="s">
        <v>36</v>
      </c>
      <c r="AE7" s="26" t="s">
        <v>79</v>
      </c>
      <c r="AF7" s="16"/>
      <c r="AL7" t="s">
        <v>36</v>
      </c>
      <c r="AM7" t="s">
        <v>79</v>
      </c>
    </row>
    <row r="8" spans="1:39" x14ac:dyDescent="0.35">
      <c r="A8" s="29">
        <v>1981</v>
      </c>
      <c r="B8" s="30">
        <v>-4.7E-2</v>
      </c>
      <c r="C8" s="30">
        <v>-3.2099999999999997E-2</v>
      </c>
      <c r="D8" s="30">
        <v>0.14299999999999999</v>
      </c>
      <c r="E8" s="30">
        <v>8.2000000000000003E-2</v>
      </c>
      <c r="F8" s="30">
        <v>8.1481481481481391E-2</v>
      </c>
      <c r="G8" s="30">
        <v>-6.3540332906530078E-2</v>
      </c>
      <c r="H8" s="30">
        <v>-0.3276</v>
      </c>
      <c r="I8" s="30">
        <v>0.47151459008800367</v>
      </c>
      <c r="J8" s="30">
        <v>-0.2248</v>
      </c>
      <c r="K8" s="30">
        <v>0.10780000000000001</v>
      </c>
      <c r="L8" s="30">
        <v>0.34100000000000003</v>
      </c>
      <c r="M8" s="30">
        <v>4.1200000000000001E-2</v>
      </c>
      <c r="N8" s="30">
        <v>0.16700000000000001</v>
      </c>
      <c r="O8" s="30">
        <v>1.95E-2</v>
      </c>
      <c r="P8" s="30">
        <v>-6.3299999999999995E-2</v>
      </c>
      <c r="Q8" s="30">
        <v>-4.4200000000000003E-2</v>
      </c>
      <c r="R8" s="30">
        <v>0.40500000000000003</v>
      </c>
      <c r="S8" s="30">
        <v>-0.16250000000000001</v>
      </c>
      <c r="T8" s="30">
        <v>-0.441</v>
      </c>
      <c r="U8" s="30">
        <v>-0.37940000000000002</v>
      </c>
      <c r="V8" s="30">
        <v>0.27860000000000001</v>
      </c>
      <c r="W8" s="30"/>
      <c r="X8" s="30">
        <v>-0.35160000000000002</v>
      </c>
      <c r="Y8" s="30"/>
      <c r="AB8" s="24"/>
      <c r="AC8" s="25"/>
      <c r="AD8" s="25" t="s">
        <v>17</v>
      </c>
      <c r="AE8" s="27" t="s">
        <v>80</v>
      </c>
      <c r="AF8" s="16"/>
      <c r="AL8" t="s">
        <v>17</v>
      </c>
      <c r="AM8" t="s">
        <v>80</v>
      </c>
    </row>
    <row r="9" spans="1:39" x14ac:dyDescent="0.35">
      <c r="A9" s="29">
        <v>1982</v>
      </c>
      <c r="B9" s="30">
        <v>0.20419999999999999</v>
      </c>
      <c r="C9" s="30">
        <v>0.1867</v>
      </c>
      <c r="D9" s="30">
        <v>0.1101</v>
      </c>
      <c r="E9" s="30">
        <v>0.3281</v>
      </c>
      <c r="F9" s="30">
        <v>-0.18835616438356159</v>
      </c>
      <c r="G9" s="30">
        <v>-2.6320287130405046E-2</v>
      </c>
      <c r="H9" s="30">
        <v>0.11749999999999999</v>
      </c>
      <c r="I9" s="30">
        <v>-0.1022977651872836</v>
      </c>
      <c r="J9" s="30">
        <v>-4.8000000000000001E-2</v>
      </c>
      <c r="K9" s="30">
        <v>0.37169999999999997</v>
      </c>
      <c r="L9" s="30">
        <v>0.38529999999999998</v>
      </c>
      <c r="M9" s="30">
        <v>0.49640000000000001</v>
      </c>
      <c r="N9" s="30">
        <v>0.47120000000000001</v>
      </c>
      <c r="O9" s="30">
        <v>0.21049999999999999</v>
      </c>
      <c r="P9" s="30">
        <v>0.65359999999999996</v>
      </c>
      <c r="Q9" s="30">
        <v>0.43519999999999998</v>
      </c>
      <c r="R9" s="30">
        <v>1.3471</v>
      </c>
      <c r="S9" s="30">
        <v>1.3209</v>
      </c>
      <c r="T9" s="30">
        <v>0.72219999999999995</v>
      </c>
      <c r="U9" s="30">
        <v>0.97319999999999995</v>
      </c>
      <c r="V9" s="30">
        <v>0.1147</v>
      </c>
      <c r="W9" s="30"/>
      <c r="X9" s="30">
        <v>0.3503</v>
      </c>
      <c r="Y9" s="30"/>
      <c r="AB9" s="24"/>
      <c r="AC9" s="25"/>
      <c r="AD9" s="25" t="s">
        <v>16</v>
      </c>
      <c r="AE9" s="26" t="s">
        <v>81</v>
      </c>
      <c r="AF9" s="16"/>
      <c r="AL9" t="s">
        <v>16</v>
      </c>
      <c r="AM9" t="s">
        <v>81</v>
      </c>
    </row>
    <row r="10" spans="1:39" x14ac:dyDescent="0.35">
      <c r="A10" s="29">
        <v>1983</v>
      </c>
      <c r="B10" s="30">
        <v>0.22339999999999999</v>
      </c>
      <c r="C10" s="30">
        <v>0.19869999999999999</v>
      </c>
      <c r="D10" s="30">
        <v>8.4500000000000006E-2</v>
      </c>
      <c r="E10" s="30">
        <v>3.2000000000000001E-2</v>
      </c>
      <c r="F10" s="30">
        <v>0.26160337552742619</v>
      </c>
      <c r="G10" s="30">
        <v>-2.0010531858873103E-2</v>
      </c>
      <c r="H10" s="30">
        <v>-0.14990000000000001</v>
      </c>
      <c r="I10" s="30">
        <v>-8.1697054698457158E-2</v>
      </c>
      <c r="J10" s="30">
        <v>0.12180000000000001</v>
      </c>
      <c r="K10" s="30">
        <v>4.5199999999999997E-2</v>
      </c>
      <c r="L10" s="30">
        <v>0.16769999999999999</v>
      </c>
      <c r="M10" s="30">
        <v>2.8799999999999999E-2</v>
      </c>
      <c r="N10" s="30">
        <v>-3.8100000000000002E-2</v>
      </c>
      <c r="O10" s="30">
        <v>-0.16800000000000001</v>
      </c>
      <c r="P10" s="30">
        <v>0.23580000000000001</v>
      </c>
      <c r="Q10" s="30">
        <v>0.16769999999999999</v>
      </c>
      <c r="R10" s="30">
        <v>0.56389999999999996</v>
      </c>
      <c r="S10" s="30">
        <v>0.63500000000000001</v>
      </c>
      <c r="T10" s="30">
        <v>1.1677</v>
      </c>
      <c r="U10" s="30">
        <v>1.1041000000000001</v>
      </c>
      <c r="V10" s="30">
        <v>8.6400000000000005E-2</v>
      </c>
      <c r="W10" s="30"/>
      <c r="X10" s="30">
        <v>-0.18410000000000001</v>
      </c>
      <c r="Y10" s="30"/>
      <c r="AB10" s="24"/>
      <c r="AC10" s="25"/>
      <c r="AD10" s="25" t="s">
        <v>7</v>
      </c>
      <c r="AE10" s="27" t="s">
        <v>82</v>
      </c>
      <c r="AF10" s="16"/>
      <c r="AL10" t="s">
        <v>7</v>
      </c>
      <c r="AM10" t="s">
        <v>82</v>
      </c>
    </row>
    <row r="11" spans="1:39" x14ac:dyDescent="0.35">
      <c r="A11" s="29">
        <v>1984</v>
      </c>
      <c r="B11" s="30">
        <v>6.1499999999999999E-2</v>
      </c>
      <c r="C11" s="30">
        <v>-0.11219999999999999</v>
      </c>
      <c r="D11" s="30">
        <v>9.6100000000000005E-2</v>
      </c>
      <c r="E11" s="30">
        <v>0.13730000000000001</v>
      </c>
      <c r="F11" s="30">
        <v>2.0066889632106892E-2</v>
      </c>
      <c r="G11" s="30">
        <v>3.0986924592513058E-2</v>
      </c>
      <c r="H11" s="30">
        <v>-0.1895</v>
      </c>
      <c r="I11" s="30">
        <v>-1.1836578846888211E-2</v>
      </c>
      <c r="J11" s="30">
        <v>0.3483</v>
      </c>
      <c r="K11" s="30">
        <v>0.1235</v>
      </c>
      <c r="L11" s="30">
        <v>9.8400000000000001E-2</v>
      </c>
      <c r="M11" s="30">
        <v>0.16589999999999999</v>
      </c>
      <c r="N11" s="30">
        <v>2.2000000000000001E-3</v>
      </c>
      <c r="O11" s="30">
        <v>0.13780000000000001</v>
      </c>
      <c r="P11" s="30">
        <v>-3.4099999999999998E-2</v>
      </c>
      <c r="Q11" s="30">
        <v>-7.7299999999999994E-2</v>
      </c>
      <c r="R11" s="30">
        <v>-2.8799999999999999E-2</v>
      </c>
      <c r="S11" s="30">
        <v>7.6700000000000004E-2</v>
      </c>
      <c r="T11" s="30">
        <v>-0.33329999999999999</v>
      </c>
      <c r="U11" s="30">
        <v>-0.18709999999999999</v>
      </c>
      <c r="V11" s="30">
        <v>0.17610000000000001</v>
      </c>
      <c r="W11" s="30"/>
      <c r="X11" s="30">
        <v>0.19489999999999999</v>
      </c>
      <c r="Y11" s="30"/>
      <c r="AB11" s="24"/>
      <c r="AC11" s="25"/>
      <c r="AD11" s="25" t="s">
        <v>35</v>
      </c>
      <c r="AE11" s="27" t="s">
        <v>83</v>
      </c>
      <c r="AF11" s="16"/>
      <c r="AL11" t="s">
        <v>35</v>
      </c>
      <c r="AM11" t="s">
        <v>83</v>
      </c>
    </row>
    <row r="12" spans="1:39" x14ac:dyDescent="0.35">
      <c r="A12" s="29">
        <v>1985</v>
      </c>
      <c r="B12" s="30">
        <v>0.31240000000000001</v>
      </c>
      <c r="C12" s="30">
        <v>0.31359999999999999</v>
      </c>
      <c r="D12" s="30">
        <v>7.4899999999999994E-2</v>
      </c>
      <c r="E12" s="30">
        <v>0.2571</v>
      </c>
      <c r="F12" s="30">
        <v>-0.18360655737704906</v>
      </c>
      <c r="G12" s="30">
        <v>-6.2543432939541371E-2</v>
      </c>
      <c r="H12" s="30">
        <v>6.1699999999999998E-2</v>
      </c>
      <c r="I12" s="30">
        <v>-6.916537867078823E-2</v>
      </c>
      <c r="J12" s="30">
        <v>0.22500000000000001</v>
      </c>
      <c r="K12" s="30">
        <v>0.20330000000000001</v>
      </c>
      <c r="L12" s="30">
        <v>0.56659999999999999</v>
      </c>
      <c r="M12" s="30">
        <v>0.35470000000000002</v>
      </c>
      <c r="N12" s="30">
        <v>0.22370000000000001</v>
      </c>
      <c r="O12" s="30">
        <v>0.88519999999999999</v>
      </c>
      <c r="P12" s="30">
        <v>0.2848</v>
      </c>
      <c r="Q12" s="30">
        <v>0.63770000000000004</v>
      </c>
      <c r="R12" s="30">
        <v>0.68320000000000003</v>
      </c>
      <c r="S12" s="30">
        <v>0.2712</v>
      </c>
      <c r="T12" s="30">
        <v>4.4600000000000001E-2</v>
      </c>
      <c r="U12" s="30">
        <v>0.67459999999999998</v>
      </c>
      <c r="V12" s="30">
        <v>0.31519999999999998</v>
      </c>
      <c r="W12" s="30"/>
      <c r="X12" s="30">
        <v>-0.24460000000000001</v>
      </c>
      <c r="Y12" s="30"/>
      <c r="AB12" s="24"/>
      <c r="AC12" s="25"/>
      <c r="AD12" s="25" t="s">
        <v>8</v>
      </c>
      <c r="AE12" s="26" t="s">
        <v>84</v>
      </c>
      <c r="AF12" s="16"/>
      <c r="AL12" t="s">
        <v>8</v>
      </c>
      <c r="AM12" t="s">
        <v>84</v>
      </c>
    </row>
    <row r="13" spans="1:39" x14ac:dyDescent="0.35">
      <c r="A13" s="29">
        <v>1986</v>
      </c>
      <c r="B13" s="30">
        <v>0.18490000000000001</v>
      </c>
      <c r="C13" s="30">
        <v>7.3599999999999999E-2</v>
      </c>
      <c r="D13" s="30">
        <v>6.0400000000000002E-2</v>
      </c>
      <c r="E13" s="30">
        <v>0.24279999999999999</v>
      </c>
      <c r="F13" s="30">
        <v>-0.21285140562249005</v>
      </c>
      <c r="G13" s="30">
        <v>-2.0756115641215666E-2</v>
      </c>
      <c r="H13" s="30">
        <v>0.19539999999999999</v>
      </c>
      <c r="I13" s="30">
        <v>-0.48069738480697383</v>
      </c>
      <c r="J13" s="30">
        <v>0.27210000000000001</v>
      </c>
      <c r="K13" s="30">
        <v>0.26029999999999998</v>
      </c>
      <c r="L13" s="30">
        <v>0.12909999999999999</v>
      </c>
      <c r="M13" s="30">
        <v>0.3402</v>
      </c>
      <c r="N13" s="30">
        <v>9.5000000000000001E-2</v>
      </c>
      <c r="O13" s="30">
        <v>0.5282</v>
      </c>
      <c r="P13" s="30">
        <v>0.18210000000000001</v>
      </c>
      <c r="Q13" s="30">
        <v>0.33460000000000001</v>
      </c>
      <c r="R13" s="30">
        <v>0.45879999999999999</v>
      </c>
      <c r="S13" s="30">
        <v>0.45469999999999999</v>
      </c>
      <c r="T13" s="30">
        <v>-0.28210000000000002</v>
      </c>
      <c r="U13" s="30">
        <v>-0.21010000000000001</v>
      </c>
      <c r="V13" s="30">
        <v>-6.8900000000000003E-2</v>
      </c>
      <c r="W13" s="30"/>
      <c r="X13" s="30">
        <v>0.84089999999999998</v>
      </c>
      <c r="Y13" s="30"/>
      <c r="AB13" s="24"/>
      <c r="AC13" s="25"/>
      <c r="AD13" s="25" t="s">
        <v>1</v>
      </c>
      <c r="AE13" s="26" t="s">
        <v>85</v>
      </c>
      <c r="AF13" s="16"/>
      <c r="AL13" t="s">
        <v>1</v>
      </c>
      <c r="AM13" t="s">
        <v>85</v>
      </c>
    </row>
    <row r="14" spans="1:39" x14ac:dyDescent="0.35">
      <c r="A14" s="29">
        <v>1987</v>
      </c>
      <c r="B14" s="30">
        <v>5.8099999999999999E-2</v>
      </c>
      <c r="C14" s="30">
        <v>-5.2600000000000001E-2</v>
      </c>
      <c r="D14" s="30">
        <v>5.7200000000000001E-2</v>
      </c>
      <c r="E14" s="30">
        <v>-4.9599999999999998E-2</v>
      </c>
      <c r="F14" s="30">
        <v>-0.20408163265306117</v>
      </c>
      <c r="G14" s="30">
        <v>0.16143073429220275</v>
      </c>
      <c r="H14" s="30">
        <v>0.24460000000000001</v>
      </c>
      <c r="I14" s="30">
        <v>0.23101518784972028</v>
      </c>
      <c r="J14" s="30">
        <v>8.7300000000000003E-2</v>
      </c>
      <c r="K14" s="30">
        <v>-0.1522</v>
      </c>
      <c r="L14" s="30">
        <v>8.4199999999999997E-2</v>
      </c>
      <c r="M14" s="30">
        <v>9.9000000000000008E-3</v>
      </c>
      <c r="N14" s="30">
        <v>0.1178</v>
      </c>
      <c r="O14" s="30">
        <v>0.37390000000000001</v>
      </c>
      <c r="P14" s="30">
        <v>2.6200000000000001E-2</v>
      </c>
      <c r="Q14" s="30">
        <v>5.7500000000000002E-2</v>
      </c>
      <c r="R14" s="30">
        <v>0.1183</v>
      </c>
      <c r="S14" s="30">
        <v>0.34</v>
      </c>
      <c r="T14" s="30">
        <v>0.89290000000000003</v>
      </c>
      <c r="U14" s="30">
        <v>-0.28000000000000003</v>
      </c>
      <c r="V14" s="30">
        <v>-0.49409999999999998</v>
      </c>
      <c r="W14" s="30">
        <v>1.2486999999999999</v>
      </c>
      <c r="X14" s="30">
        <v>1.0741000000000001</v>
      </c>
      <c r="Y14" s="30"/>
      <c r="AB14" s="24"/>
      <c r="AC14" s="25"/>
      <c r="AD14" s="25" t="s">
        <v>6</v>
      </c>
      <c r="AE14" s="27" t="s">
        <v>86</v>
      </c>
      <c r="AF14" s="16"/>
      <c r="AL14" t="s">
        <v>6</v>
      </c>
      <c r="AM14" t="s">
        <v>86</v>
      </c>
    </row>
    <row r="15" spans="1:39" x14ac:dyDescent="0.35">
      <c r="A15" s="29">
        <v>1988</v>
      </c>
      <c r="B15" s="30">
        <v>0.16539999999999999</v>
      </c>
      <c r="C15" s="30">
        <v>0.15409999999999999</v>
      </c>
      <c r="D15" s="30">
        <v>6.4500000000000002E-2</v>
      </c>
      <c r="E15" s="30">
        <v>8.2199999999999995E-2</v>
      </c>
      <c r="F15" s="30">
        <v>0.45512820512820507</v>
      </c>
      <c r="G15" s="30">
        <v>8.8479713214925856E-2</v>
      </c>
      <c r="H15" s="30">
        <v>-0.15690000000000001</v>
      </c>
      <c r="I15" s="30">
        <v>-0.18311688311688312</v>
      </c>
      <c r="J15" s="30">
        <v>0.15409999999999999</v>
      </c>
      <c r="K15" s="30">
        <v>0.1197</v>
      </c>
      <c r="L15" s="30">
        <v>9.3799999999999994E-2</v>
      </c>
      <c r="M15" s="30">
        <v>0.17050000000000001</v>
      </c>
      <c r="N15" s="30">
        <v>1.9E-2</v>
      </c>
      <c r="O15" s="30">
        <v>0.10970000000000001</v>
      </c>
      <c r="P15" s="30">
        <v>1.4200000000000001E-2</v>
      </c>
      <c r="Q15" s="30">
        <v>-2.5999999999999999E-3</v>
      </c>
      <c r="R15" s="30">
        <v>0.20669999999999999</v>
      </c>
      <c r="S15" s="30">
        <v>0.34</v>
      </c>
      <c r="T15" s="30">
        <v>-0.1038</v>
      </c>
      <c r="U15" s="30">
        <v>8.8900000000000007E-2</v>
      </c>
      <c r="V15" s="30">
        <v>0.45029999999999998</v>
      </c>
      <c r="W15" s="30">
        <v>-1.84E-2</v>
      </c>
      <c r="X15" s="30">
        <v>-4.1700000000000001E-2</v>
      </c>
      <c r="Y15" s="30"/>
      <c r="AB15" s="24"/>
      <c r="AC15" s="25"/>
      <c r="AD15" s="25" t="s">
        <v>9</v>
      </c>
      <c r="AE15" s="27" t="s">
        <v>87</v>
      </c>
      <c r="AF15" s="16"/>
      <c r="AL15" t="s">
        <v>9</v>
      </c>
      <c r="AM15" t="s">
        <v>87</v>
      </c>
    </row>
    <row r="16" spans="1:39" x14ac:dyDescent="0.35">
      <c r="A16" s="29">
        <v>1989</v>
      </c>
      <c r="B16" s="30">
        <v>0.31480000000000002</v>
      </c>
      <c r="C16" s="30">
        <v>0.19259999999999999</v>
      </c>
      <c r="D16" s="30">
        <v>8.1100000000000005E-2</v>
      </c>
      <c r="E16" s="30">
        <v>0.1769</v>
      </c>
      <c r="F16" s="30">
        <v>7.0484581497797419E-2</v>
      </c>
      <c r="G16" s="30">
        <v>4.3113772455089967E-2</v>
      </c>
      <c r="H16" s="30">
        <v>-2.23E-2</v>
      </c>
      <c r="I16" s="30">
        <v>0.26073131955484891</v>
      </c>
      <c r="J16" s="30">
        <v>0.13639999999999999</v>
      </c>
      <c r="K16" s="30">
        <v>0.1908</v>
      </c>
      <c r="L16" s="30">
        <v>0.43380000000000002</v>
      </c>
      <c r="M16" s="30">
        <v>0.73109999999999997</v>
      </c>
      <c r="N16" s="30">
        <v>0.6149</v>
      </c>
      <c r="O16" s="30">
        <v>0.70340000000000003</v>
      </c>
      <c r="P16" s="30">
        <v>0.44130000000000003</v>
      </c>
      <c r="Q16" s="30">
        <v>0.41299999999999998</v>
      </c>
      <c r="R16" s="30">
        <v>0.43030000000000002</v>
      </c>
      <c r="S16" s="30">
        <v>-0.1361</v>
      </c>
      <c r="T16" s="30">
        <v>0.4526</v>
      </c>
      <c r="U16" s="30">
        <v>-0.2041</v>
      </c>
      <c r="V16" s="30">
        <v>-3.6299999999999999E-2</v>
      </c>
      <c r="W16" s="30">
        <v>0.63380000000000003</v>
      </c>
      <c r="X16" s="30">
        <v>-0.1242</v>
      </c>
      <c r="Y16" s="30"/>
      <c r="AB16" s="24"/>
      <c r="AC16" s="25"/>
      <c r="AD16" s="25" t="s">
        <v>11</v>
      </c>
      <c r="AE16" s="27" t="s">
        <v>88</v>
      </c>
      <c r="AF16" s="16"/>
      <c r="AL16" t="s">
        <v>11</v>
      </c>
      <c r="AM16" t="s">
        <v>88</v>
      </c>
    </row>
    <row r="17" spans="1:39" x14ac:dyDescent="0.35">
      <c r="A17" s="29">
        <v>1990</v>
      </c>
      <c r="B17" s="30">
        <v>-3.0599999999999999E-2</v>
      </c>
      <c r="C17" s="30">
        <v>-0.17799999999999999</v>
      </c>
      <c r="D17" s="30">
        <v>7.5499999999999998E-2</v>
      </c>
      <c r="E17" s="30">
        <v>6.2399999999999997E-2</v>
      </c>
      <c r="F17" s="30">
        <v>-1.2345679012345781E-2</v>
      </c>
      <c r="G17" s="30">
        <v>7.333524684270952E-2</v>
      </c>
      <c r="H17" s="30">
        <v>-3.6900000000000002E-2</v>
      </c>
      <c r="I17" s="30">
        <v>0.2629255989911729</v>
      </c>
      <c r="J17" s="30">
        <v>3.5000000000000003E-2</v>
      </c>
      <c r="K17" s="30">
        <v>0</v>
      </c>
      <c r="L17" s="30">
        <v>-0.15559999999999999</v>
      </c>
      <c r="M17" s="30">
        <v>0.2039</v>
      </c>
      <c r="N17" s="30">
        <v>0.2331</v>
      </c>
      <c r="O17" s="30">
        <v>-9.3799999999999994E-2</v>
      </c>
      <c r="P17" s="30">
        <v>-0.1105</v>
      </c>
      <c r="Q17" s="30">
        <v>0.32350000000000001</v>
      </c>
      <c r="R17" s="30">
        <v>0.34820000000000001</v>
      </c>
      <c r="S17" s="30">
        <v>-0.38969999999999999</v>
      </c>
      <c r="T17" s="30">
        <v>0.1159</v>
      </c>
      <c r="U17" s="30">
        <v>-0.32050000000000001</v>
      </c>
      <c r="V17" s="30">
        <v>-0.64019999999999999</v>
      </c>
      <c r="W17" s="30">
        <v>0.72989999999999999</v>
      </c>
      <c r="X17" s="30">
        <v>0.21990000000000001</v>
      </c>
      <c r="Y17" s="30"/>
      <c r="AB17" s="24"/>
      <c r="AC17" s="25"/>
      <c r="AD17" s="25" t="s">
        <v>33</v>
      </c>
      <c r="AE17" s="26" t="s">
        <v>89</v>
      </c>
      <c r="AF17" s="16"/>
      <c r="AL17" t="s">
        <v>33</v>
      </c>
      <c r="AM17" t="s">
        <v>89</v>
      </c>
    </row>
    <row r="18" spans="1:39" x14ac:dyDescent="0.35">
      <c r="A18" s="29">
        <v>1991</v>
      </c>
      <c r="B18" s="30">
        <v>0.30230000000000001</v>
      </c>
      <c r="C18" s="30">
        <v>0.56840000000000002</v>
      </c>
      <c r="D18" s="30">
        <v>5.6099999999999997E-2</v>
      </c>
      <c r="E18" s="30">
        <v>0.15</v>
      </c>
      <c r="F18" s="30">
        <v>-2.9166666666666601E-2</v>
      </c>
      <c r="G18" s="30">
        <v>-2.5671881267549157E-2</v>
      </c>
      <c r="H18" s="30">
        <v>-8.5599999999999996E-2</v>
      </c>
      <c r="I18" s="30">
        <v>-0.17423864203694467</v>
      </c>
      <c r="J18" s="30">
        <v>0.17630000000000001</v>
      </c>
      <c r="K18" s="30">
        <v>0.12820000000000001</v>
      </c>
      <c r="L18" s="30">
        <v>0.30470000000000003</v>
      </c>
      <c r="M18" s="30">
        <v>0.7258</v>
      </c>
      <c r="N18" s="30">
        <v>8.3699999999999997E-2</v>
      </c>
      <c r="O18" s="30">
        <v>0.12809999999999999</v>
      </c>
      <c r="P18" s="30">
        <v>0.33329999999999999</v>
      </c>
      <c r="Q18" s="30">
        <v>0.53059999999999996</v>
      </c>
      <c r="R18" s="30">
        <v>0.94630000000000003</v>
      </c>
      <c r="S18" s="30">
        <v>5.6300000000000003E-2</v>
      </c>
      <c r="T18" s="30">
        <v>0.2727</v>
      </c>
      <c r="U18" s="30">
        <v>0.434</v>
      </c>
      <c r="V18" s="30">
        <v>0.97670000000000001</v>
      </c>
      <c r="W18" s="30">
        <v>1.2176</v>
      </c>
      <c r="X18" s="30">
        <v>0.311</v>
      </c>
      <c r="Y18" s="30"/>
      <c r="AB18" s="24"/>
      <c r="AC18" s="25"/>
      <c r="AD18" s="25" t="s">
        <v>32</v>
      </c>
      <c r="AE18" s="27" t="s">
        <v>90</v>
      </c>
      <c r="AF18" s="16"/>
      <c r="AL18" t="s">
        <v>32</v>
      </c>
      <c r="AM18" t="s">
        <v>90</v>
      </c>
    </row>
    <row r="19" spans="1:39" x14ac:dyDescent="0.35">
      <c r="A19" s="29">
        <v>1992</v>
      </c>
      <c r="B19" s="30">
        <v>7.4899999999999994E-2</v>
      </c>
      <c r="C19" s="30">
        <v>0.1545</v>
      </c>
      <c r="D19" s="30">
        <v>3.4099999999999998E-2</v>
      </c>
      <c r="E19" s="30">
        <v>9.3600000000000003E-2</v>
      </c>
      <c r="F19" s="30">
        <v>-8.5836909871244704E-3</v>
      </c>
      <c r="G19" s="30">
        <v>-2.1133525456292112E-2</v>
      </c>
      <c r="H19" s="30">
        <v>-5.7099999999999998E-2</v>
      </c>
      <c r="I19" s="30">
        <v>-3.3252720677146248E-2</v>
      </c>
      <c r="J19" s="30">
        <v>4.1000000000000003E-3</v>
      </c>
      <c r="K19" s="30">
        <v>-0.22439999999999999</v>
      </c>
      <c r="L19" s="30">
        <v>0.28289999999999998</v>
      </c>
      <c r="M19" s="30">
        <v>4.36E-2</v>
      </c>
      <c r="N19" s="30">
        <v>0.14249999999999999</v>
      </c>
      <c r="O19" s="30">
        <v>0.50219999999999998</v>
      </c>
      <c r="P19" s="30">
        <v>0.1176</v>
      </c>
      <c r="Q19" s="30">
        <v>-0.11799999999999999</v>
      </c>
      <c r="R19" s="30">
        <v>8.6999999999999994E-2</v>
      </c>
      <c r="S19" s="30">
        <v>0.52439999999999998</v>
      </c>
      <c r="T19" s="30">
        <v>0.77549999999999997</v>
      </c>
      <c r="U19" s="30">
        <v>0.71050000000000002</v>
      </c>
      <c r="V19" s="30">
        <v>0.81759999999999999</v>
      </c>
      <c r="W19" s="30">
        <v>0.15110000000000001</v>
      </c>
      <c r="X19" s="30">
        <v>5.9900000000000002E-2</v>
      </c>
      <c r="Y19" s="30"/>
      <c r="AB19" s="24"/>
      <c r="AC19" s="25"/>
      <c r="AD19" s="25" t="s">
        <v>67</v>
      </c>
      <c r="AE19" s="26" t="s">
        <v>91</v>
      </c>
      <c r="AF19" s="16"/>
      <c r="AL19" t="s">
        <v>67</v>
      </c>
      <c r="AM19" t="s">
        <v>91</v>
      </c>
    </row>
    <row r="20" spans="1:39" x14ac:dyDescent="0.35">
      <c r="A20" s="29">
        <v>1993</v>
      </c>
      <c r="B20" s="30">
        <v>9.9699999999999997E-2</v>
      </c>
      <c r="C20" s="30">
        <v>0.14749999999999999</v>
      </c>
      <c r="D20" s="30">
        <v>2.98E-2</v>
      </c>
      <c r="E20" s="30">
        <v>0.1421</v>
      </c>
      <c r="F20" s="30">
        <v>-3.8961038961038898E-2</v>
      </c>
      <c r="G20" s="30">
        <v>-1.3248282630029544E-2</v>
      </c>
      <c r="H20" s="30">
        <v>0.1764</v>
      </c>
      <c r="I20" s="30">
        <v>-0.10881801125703566</v>
      </c>
      <c r="J20" s="30">
        <v>3.27E-2</v>
      </c>
      <c r="K20" s="30">
        <v>8.4199999999999997E-2</v>
      </c>
      <c r="L20" s="30">
        <v>0.16919999999999999</v>
      </c>
      <c r="M20" s="30">
        <v>6.7500000000000004E-2</v>
      </c>
      <c r="N20" s="30">
        <v>6.2899999999999998E-2</v>
      </c>
      <c r="O20" s="30">
        <v>-8.6999999999999994E-3</v>
      </c>
      <c r="P20" s="30">
        <v>0.2266</v>
      </c>
      <c r="Q20" s="30">
        <v>-2.47E-2</v>
      </c>
      <c r="R20" s="30">
        <v>-0.21879999999999999</v>
      </c>
      <c r="S20" s="30">
        <v>0.50439999999999996</v>
      </c>
      <c r="T20" s="30">
        <v>0.42530000000000001</v>
      </c>
      <c r="U20" s="30">
        <v>0.51539999999999997</v>
      </c>
      <c r="V20" s="30">
        <v>3.8800000000000001E-2</v>
      </c>
      <c r="W20" s="30">
        <v>-5.5599999999999997E-2</v>
      </c>
      <c r="X20" s="30">
        <v>-0.51049999999999995</v>
      </c>
      <c r="Y20" s="30"/>
      <c r="AB20" s="24"/>
      <c r="AC20" s="25"/>
      <c r="AD20" s="25" t="s">
        <v>15</v>
      </c>
      <c r="AE20" s="26" t="s">
        <v>93</v>
      </c>
      <c r="AL20" t="s">
        <v>10</v>
      </c>
      <c r="AM20" t="s">
        <v>92</v>
      </c>
    </row>
    <row r="21" spans="1:39" x14ac:dyDescent="0.35">
      <c r="A21" s="29">
        <v>1994</v>
      </c>
      <c r="B21" s="30">
        <v>1.3299999999999999E-2</v>
      </c>
      <c r="C21" s="30">
        <v>-3.2000000000000001E-2</v>
      </c>
      <c r="D21" s="30">
        <v>3.9899999999999998E-2</v>
      </c>
      <c r="E21" s="30">
        <v>-8.0399999999999999E-2</v>
      </c>
      <c r="F21" s="30">
        <v>8.5585585585585558E-2</v>
      </c>
      <c r="G21" s="30">
        <v>-1.3426156141223177E-2</v>
      </c>
      <c r="H21" s="30">
        <v>-2.1700000000000001E-2</v>
      </c>
      <c r="I21" s="30">
        <v>-7.4385964912280736E-2</v>
      </c>
      <c r="J21" s="30">
        <v>-2.7699999999999999E-2</v>
      </c>
      <c r="K21" s="30">
        <v>-0.1047</v>
      </c>
      <c r="L21" s="30">
        <v>2.63E-2</v>
      </c>
      <c r="M21" s="30">
        <v>0.15409999999999999</v>
      </c>
      <c r="N21" s="30">
        <v>8.77E-2</v>
      </c>
      <c r="O21" s="30">
        <v>7.9200000000000007E-2</v>
      </c>
      <c r="P21" s="30">
        <v>-2.7400000000000001E-2</v>
      </c>
      <c r="Q21" s="30">
        <v>0.1013</v>
      </c>
      <c r="R21" s="30">
        <v>-0.15</v>
      </c>
      <c r="S21" s="30">
        <v>-0.13569999999999999</v>
      </c>
      <c r="T21" s="30">
        <v>3.0200000000000001E-2</v>
      </c>
      <c r="U21" s="30">
        <v>0.4264</v>
      </c>
      <c r="V21" s="30">
        <v>-0.10589999999999999</v>
      </c>
      <c r="W21" s="30">
        <v>0.51629999999999998</v>
      </c>
      <c r="X21" s="30">
        <v>0.33329999999999999</v>
      </c>
      <c r="Y21" s="30"/>
      <c r="AB21" s="24"/>
      <c r="AC21" s="25"/>
      <c r="AD21" s="25" t="s">
        <v>34</v>
      </c>
      <c r="AE21" s="25" t="s">
        <v>94</v>
      </c>
      <c r="AF21" s="16"/>
      <c r="AL21" t="s">
        <v>15</v>
      </c>
      <c r="AM21" t="s">
        <v>93</v>
      </c>
    </row>
    <row r="22" spans="1:39" x14ac:dyDescent="0.35">
      <c r="A22" s="29">
        <v>1995</v>
      </c>
      <c r="B22" s="30">
        <v>0.372</v>
      </c>
      <c r="C22" s="30">
        <v>0.3992</v>
      </c>
      <c r="D22" s="30">
        <v>5.5199999999999999E-2</v>
      </c>
      <c r="E22" s="30">
        <v>0.23480000000000001</v>
      </c>
      <c r="F22" s="30">
        <v>6.2240663900414897E-2</v>
      </c>
      <c r="G22" s="30">
        <v>-5.71716589861751E-2</v>
      </c>
      <c r="H22" s="30">
        <v>9.7999999999999997E-3</v>
      </c>
      <c r="I22" s="30">
        <v>0.10841546626231992</v>
      </c>
      <c r="J22" s="30">
        <v>0.31159999999999999</v>
      </c>
      <c r="K22" s="30">
        <v>0.29809999999999998</v>
      </c>
      <c r="L22" s="30">
        <v>0.54269999999999996</v>
      </c>
      <c r="M22" s="30">
        <v>0.44169999999999998</v>
      </c>
      <c r="N22" s="30">
        <v>0.3387</v>
      </c>
      <c r="O22" s="30">
        <v>0.27989999999999998</v>
      </c>
      <c r="P22" s="30">
        <v>0.4118</v>
      </c>
      <c r="Q22" s="30">
        <v>0.27589999999999998</v>
      </c>
      <c r="R22" s="30">
        <v>4.7100000000000003E-2</v>
      </c>
      <c r="S22" s="30">
        <v>3.5900000000000001E-2</v>
      </c>
      <c r="T22" s="30">
        <v>0.77690000000000003</v>
      </c>
      <c r="U22" s="30">
        <v>0.51070000000000004</v>
      </c>
      <c r="V22" s="30">
        <v>0.63759999999999994</v>
      </c>
      <c r="W22" s="30">
        <v>0.43559999999999999</v>
      </c>
      <c r="X22" s="30">
        <v>-0.1827</v>
      </c>
      <c r="Y22" s="30"/>
      <c r="AB22" s="24"/>
      <c r="AC22" s="25"/>
      <c r="AD22" s="25" t="s">
        <v>5</v>
      </c>
      <c r="AE22" s="26" t="s">
        <v>97</v>
      </c>
      <c r="AF22" s="16"/>
      <c r="AL22" t="s">
        <v>34</v>
      </c>
      <c r="AM22" t="s">
        <v>94</v>
      </c>
    </row>
    <row r="23" spans="1:39" x14ac:dyDescent="0.35">
      <c r="A23" s="29">
        <v>1996</v>
      </c>
      <c r="B23" s="30">
        <v>0.2268</v>
      </c>
      <c r="C23" s="30">
        <v>0.2271</v>
      </c>
      <c r="D23" s="30">
        <v>5.0200000000000002E-2</v>
      </c>
      <c r="E23" s="30">
        <v>1.43E-2</v>
      </c>
      <c r="F23" s="30">
        <v>0.38671874999999989</v>
      </c>
      <c r="G23" s="30">
        <v>-3.8032686726745105E-2</v>
      </c>
      <c r="H23" s="30">
        <v>-4.65E-2</v>
      </c>
      <c r="I23" s="30">
        <v>0.26265389876880996</v>
      </c>
      <c r="J23" s="30">
        <v>0.21740000000000001</v>
      </c>
      <c r="K23" s="30">
        <v>-2.9100000000000001E-2</v>
      </c>
      <c r="L23" s="30">
        <v>5.4999999999999997E-3</v>
      </c>
      <c r="M23" s="30">
        <v>0.41749999999999998</v>
      </c>
      <c r="N23" s="30">
        <v>0.29670000000000002</v>
      </c>
      <c r="O23" s="30">
        <v>0.1847</v>
      </c>
      <c r="P23" s="30">
        <v>0.37330000000000002</v>
      </c>
      <c r="Q23" s="30">
        <v>0.21920000000000001</v>
      </c>
      <c r="R23" s="30">
        <v>2.2499999999999999E-2</v>
      </c>
      <c r="S23" s="30">
        <v>0.1169</v>
      </c>
      <c r="T23" s="30">
        <v>1.3072999999999999</v>
      </c>
      <c r="U23" s="30">
        <v>0.43640000000000001</v>
      </c>
      <c r="V23" s="30">
        <v>0.52129999999999999</v>
      </c>
      <c r="W23" s="30">
        <v>0.88319999999999999</v>
      </c>
      <c r="X23" s="30">
        <v>-0.34510000000000002</v>
      </c>
      <c r="Y23" s="30"/>
      <c r="AB23" s="24"/>
      <c r="AC23" s="25"/>
      <c r="AD23" s="25" t="s">
        <v>4</v>
      </c>
      <c r="AE23" s="27" t="s">
        <v>98</v>
      </c>
      <c r="AF23" s="16"/>
      <c r="AL23" t="s">
        <v>95</v>
      </c>
      <c r="AM23" t="s">
        <v>96</v>
      </c>
    </row>
    <row r="24" spans="1:39" x14ac:dyDescent="0.35">
      <c r="A24" s="29">
        <v>1997</v>
      </c>
      <c r="B24" s="30">
        <v>0.33100000000000002</v>
      </c>
      <c r="C24" s="30">
        <v>0.21640000000000001</v>
      </c>
      <c r="D24" s="30">
        <v>5.0500000000000003E-2</v>
      </c>
      <c r="E24" s="30">
        <v>9.9400000000000002E-2</v>
      </c>
      <c r="F24" s="30">
        <v>-0.26760563380281682</v>
      </c>
      <c r="G24" s="30">
        <v>5.9225150841536948E-2</v>
      </c>
      <c r="H24" s="30">
        <v>-0.22209999999999999</v>
      </c>
      <c r="I24" s="30">
        <v>-6.6630552546045524E-2</v>
      </c>
      <c r="J24" s="30">
        <v>0.2487</v>
      </c>
      <c r="K24" s="30">
        <v>0.30990000000000001</v>
      </c>
      <c r="L24" s="30">
        <v>5.2299999999999999E-2</v>
      </c>
      <c r="M24" s="30">
        <v>0.26719999999999999</v>
      </c>
      <c r="N24" s="30">
        <v>0.48320000000000002</v>
      </c>
      <c r="O24" s="30">
        <v>0.4194</v>
      </c>
      <c r="P24" s="30">
        <v>0.48420000000000002</v>
      </c>
      <c r="Q24" s="30">
        <v>0.29060000000000002</v>
      </c>
      <c r="R24" s="30">
        <v>0.73350000000000004</v>
      </c>
      <c r="S24" s="30">
        <v>0.50580000000000003</v>
      </c>
      <c r="T24" s="30">
        <v>7.2999999999999995E-2</v>
      </c>
      <c r="U24" s="30">
        <v>8.9800000000000005E-2</v>
      </c>
      <c r="V24" s="30">
        <v>0.22520000000000001</v>
      </c>
      <c r="W24" s="30">
        <v>0.56430000000000002</v>
      </c>
      <c r="X24" s="30">
        <v>-0.37130000000000002</v>
      </c>
      <c r="Y24" s="30"/>
      <c r="AB24" s="24"/>
      <c r="AC24" s="25"/>
      <c r="AF24" s="16"/>
      <c r="AL24" t="s">
        <v>5</v>
      </c>
      <c r="AM24" t="s">
        <v>97</v>
      </c>
    </row>
    <row r="25" spans="1:39" x14ac:dyDescent="0.35">
      <c r="A25" s="29">
        <v>1998</v>
      </c>
      <c r="B25" s="30">
        <v>0.28339999999999999</v>
      </c>
      <c r="C25" s="30">
        <v>0.39629999999999999</v>
      </c>
      <c r="D25" s="30">
        <v>4.7300000000000002E-2</v>
      </c>
      <c r="E25" s="30">
        <v>0.1492</v>
      </c>
      <c r="F25" s="30">
        <v>-0.1538461538461538</v>
      </c>
      <c r="G25" s="30">
        <v>-5.7562584320191824E-2</v>
      </c>
      <c r="H25" s="30">
        <v>5.7000000000000002E-3</v>
      </c>
      <c r="I25" s="30">
        <v>-0.36912362159024964</v>
      </c>
      <c r="J25" s="30">
        <v>0.1951</v>
      </c>
      <c r="K25" s="30">
        <v>6.0600000000000001E-2</v>
      </c>
      <c r="L25" s="30">
        <v>0.60860000000000003</v>
      </c>
      <c r="M25" s="30">
        <v>4.7000000000000002E-3</v>
      </c>
      <c r="N25" s="30">
        <v>0.14410000000000001</v>
      </c>
      <c r="O25" s="30">
        <v>-9.0899999999999995E-2</v>
      </c>
      <c r="P25" s="30">
        <v>0.3901</v>
      </c>
      <c r="Q25" s="30">
        <v>0.49619999999999997</v>
      </c>
      <c r="R25" s="30">
        <v>1.0649999999999999</v>
      </c>
      <c r="S25" s="30">
        <v>0.20849999999999999</v>
      </c>
      <c r="T25" s="30">
        <v>0.68769999999999998</v>
      </c>
      <c r="U25" s="30">
        <v>0.13320000000000001</v>
      </c>
      <c r="V25" s="30">
        <v>0.29680000000000001</v>
      </c>
      <c r="W25" s="30">
        <v>1.1459999999999999</v>
      </c>
      <c r="X25" s="30">
        <v>2.1190000000000002</v>
      </c>
      <c r="Y25" s="30"/>
      <c r="AB25" s="24"/>
      <c r="AC25" s="25"/>
      <c r="AF25" s="16"/>
      <c r="AL25" t="s">
        <v>4</v>
      </c>
      <c r="AM25" t="s">
        <v>98</v>
      </c>
    </row>
    <row r="26" spans="1:39" x14ac:dyDescent="0.35">
      <c r="A26" s="29">
        <v>1999</v>
      </c>
      <c r="B26" s="30">
        <v>0.2089</v>
      </c>
      <c r="C26" s="30">
        <v>0.85589999999999999</v>
      </c>
      <c r="D26" s="30">
        <v>4.5100000000000001E-2</v>
      </c>
      <c r="E26" s="30">
        <v>-8.2500000000000004E-2</v>
      </c>
      <c r="F26" s="30">
        <v>-0.14090909090909101</v>
      </c>
      <c r="G26" s="30">
        <v>5.980594878320341E-2</v>
      </c>
      <c r="H26" s="30">
        <v>5.4000000000000003E-3</v>
      </c>
      <c r="I26" s="30">
        <v>0.43146274149034053</v>
      </c>
      <c r="J26" s="30">
        <v>0.1017</v>
      </c>
      <c r="K26" s="30">
        <v>-0.3448</v>
      </c>
      <c r="L26" s="30">
        <v>4.9599999999999998E-2</v>
      </c>
      <c r="M26" s="30">
        <v>-0.13059999999999999</v>
      </c>
      <c r="N26" s="30">
        <v>0.19989999999999999</v>
      </c>
      <c r="O26" s="30">
        <v>-2.5000000000000001E-2</v>
      </c>
      <c r="P26" s="30">
        <v>0.51719999999999999</v>
      </c>
      <c r="Q26" s="30">
        <v>-0.25890000000000002</v>
      </c>
      <c r="R26" s="30">
        <v>0.6976</v>
      </c>
      <c r="S26" s="30">
        <v>-9.1600000000000001E-2</v>
      </c>
      <c r="T26" s="30">
        <v>0.38850000000000001</v>
      </c>
      <c r="U26" s="30">
        <v>1.9641</v>
      </c>
      <c r="V26" s="30">
        <v>9.4200000000000006E-2</v>
      </c>
      <c r="W26" s="30">
        <v>0.68359999999999999</v>
      </c>
      <c r="X26" s="30">
        <v>1.5115000000000001</v>
      </c>
      <c r="Y26" s="30"/>
      <c r="AB26" s="24"/>
      <c r="AC26" s="25"/>
      <c r="AD26" s="25"/>
      <c r="AE26" s="25"/>
      <c r="AF26" s="16"/>
    </row>
    <row r="27" spans="1:39" x14ac:dyDescent="0.35">
      <c r="A27" s="29">
        <v>2000</v>
      </c>
      <c r="B27" s="30">
        <v>-9.0300000000000005E-2</v>
      </c>
      <c r="C27" s="30">
        <v>-0.39290000000000003</v>
      </c>
      <c r="D27" s="30">
        <v>5.7599999999999998E-2</v>
      </c>
      <c r="E27" s="30">
        <v>0.1666</v>
      </c>
      <c r="F27" s="30">
        <v>-1.5873015873015772E-2</v>
      </c>
      <c r="G27" s="30">
        <v>8.1044574515983889E-2</v>
      </c>
      <c r="H27" s="30">
        <v>-6.0600000000000001E-2</v>
      </c>
      <c r="I27" s="30">
        <v>0.71722365038560398</v>
      </c>
      <c r="J27" s="30">
        <v>7.9100000000000004E-2</v>
      </c>
      <c r="K27" s="30">
        <v>0.28620000000000001</v>
      </c>
      <c r="L27" s="30">
        <v>-0.15659999999999999</v>
      </c>
      <c r="M27" s="30">
        <v>4.6100000000000002E-2</v>
      </c>
      <c r="N27" s="30">
        <v>-0.28410000000000002</v>
      </c>
      <c r="O27" s="30">
        <v>-1.0699999999999999E-2</v>
      </c>
      <c r="P27" s="30">
        <v>-7.0699999999999999E-2</v>
      </c>
      <c r="Q27" s="30">
        <v>0.33389999999999997</v>
      </c>
      <c r="R27" s="30">
        <v>-0.23150000000000001</v>
      </c>
      <c r="S27" s="30">
        <v>-0.56040000000000001</v>
      </c>
      <c r="T27" s="30">
        <v>-0.26960000000000001</v>
      </c>
      <c r="U27" s="30">
        <v>0.1008</v>
      </c>
      <c r="V27" s="30">
        <v>-0.1227</v>
      </c>
      <c r="W27" s="30">
        <v>-0.62849999999999995</v>
      </c>
      <c r="X27" s="30">
        <v>-0.71060000000000001</v>
      </c>
      <c r="Y27" s="30"/>
      <c r="AB27" s="24"/>
      <c r="AC27" s="25"/>
      <c r="AD27" s="25"/>
      <c r="AE27" s="25"/>
      <c r="AF27" s="16"/>
    </row>
    <row r="28" spans="1:39" x14ac:dyDescent="0.35">
      <c r="A28" s="29">
        <v>2001</v>
      </c>
      <c r="B28" s="30">
        <v>-0.11849999999999999</v>
      </c>
      <c r="C28" s="30">
        <v>-0.21049999999999999</v>
      </c>
      <c r="D28" s="30">
        <v>3.6700000000000003E-2</v>
      </c>
      <c r="E28" s="30">
        <v>5.57E-2</v>
      </c>
      <c r="F28" s="30">
        <v>1.6129032258064412E-2</v>
      </c>
      <c r="G28" s="30">
        <v>4.2204636956823437E-2</v>
      </c>
      <c r="H28" s="30">
        <v>1.41E-2</v>
      </c>
      <c r="I28" s="30">
        <v>-0.18263473053892212</v>
      </c>
      <c r="J28" s="30">
        <v>-9.5899999999999999E-2</v>
      </c>
      <c r="K28" s="30">
        <v>-5.5500000000000001E-2</v>
      </c>
      <c r="L28" s="30">
        <v>-0.2215</v>
      </c>
      <c r="M28" s="30">
        <v>-0.2263</v>
      </c>
      <c r="N28" s="30">
        <v>8.8000000000000005E-3</v>
      </c>
      <c r="O28" s="30">
        <v>-0.28399999999999997</v>
      </c>
      <c r="P28" s="30">
        <v>-0.16389999999999999</v>
      </c>
      <c r="Q28" s="30">
        <v>0.151</v>
      </c>
      <c r="R28" s="30">
        <v>8.3299999999999999E-2</v>
      </c>
      <c r="S28" s="30">
        <v>-0.32929999999999998</v>
      </c>
      <c r="T28" s="30">
        <v>4.6199999999999998E-2</v>
      </c>
      <c r="U28" s="30">
        <v>-0.1328</v>
      </c>
      <c r="V28" s="30">
        <v>-0.2</v>
      </c>
      <c r="W28" s="30">
        <v>0.52739999999999998</v>
      </c>
      <c r="X28" s="30">
        <v>0.4723</v>
      </c>
      <c r="Y28" s="30"/>
      <c r="AB28" s="24"/>
      <c r="AC28" s="25"/>
      <c r="AD28" s="25"/>
      <c r="AE28" s="25"/>
      <c r="AF28" s="16"/>
    </row>
    <row r="29" spans="1:39" x14ac:dyDescent="0.35">
      <c r="A29" s="29">
        <v>2002</v>
      </c>
      <c r="B29" s="30">
        <v>-0.21970000000000001</v>
      </c>
      <c r="C29" s="30">
        <v>-0.31530000000000002</v>
      </c>
      <c r="D29" s="30">
        <v>1.66E-2</v>
      </c>
      <c r="E29" s="30">
        <v>0.1512</v>
      </c>
      <c r="F29" s="30">
        <v>0.12698412698412698</v>
      </c>
      <c r="G29" s="30">
        <v>-6.580524843479417E-2</v>
      </c>
      <c r="H29" s="30">
        <v>0.23960000000000001</v>
      </c>
      <c r="I29" s="30">
        <v>3.0677655677655756E-2</v>
      </c>
      <c r="J29" s="30">
        <v>-0.1109</v>
      </c>
      <c r="K29" s="30">
        <v>-0.2374</v>
      </c>
      <c r="L29" s="30">
        <v>-0.39250000000000002</v>
      </c>
      <c r="M29" s="30">
        <v>-7.0199999999999999E-2</v>
      </c>
      <c r="N29" s="30">
        <v>8.6099999999999996E-2</v>
      </c>
      <c r="O29" s="30">
        <v>-0.21279999999999999</v>
      </c>
      <c r="P29" s="30">
        <v>-0.39250000000000002</v>
      </c>
      <c r="Q29" s="30">
        <v>-0.28249999999999997</v>
      </c>
      <c r="R29" s="30">
        <v>-0.12230000000000001</v>
      </c>
      <c r="S29" s="30">
        <v>-0.40839999999999999</v>
      </c>
      <c r="T29" s="30">
        <v>-0.50490000000000002</v>
      </c>
      <c r="U29" s="30">
        <v>-0.46229999999999999</v>
      </c>
      <c r="V29" s="30">
        <v>-0.33979999999999999</v>
      </c>
      <c r="W29" s="30">
        <v>-0.21959999999999999</v>
      </c>
      <c r="X29" s="30">
        <v>-0.34570000000000001</v>
      </c>
      <c r="Y29" s="30"/>
      <c r="AB29" s="24"/>
      <c r="AC29" s="25"/>
      <c r="AD29" s="25"/>
      <c r="AE29" s="25"/>
      <c r="AF29" s="16"/>
    </row>
    <row r="30" spans="1:39" x14ac:dyDescent="0.35">
      <c r="A30" s="29">
        <v>2003</v>
      </c>
      <c r="B30" s="30">
        <v>0.28360000000000002</v>
      </c>
      <c r="C30" s="30">
        <v>0.50009999999999999</v>
      </c>
      <c r="D30" s="30">
        <v>1.03E-2</v>
      </c>
      <c r="E30" s="30">
        <v>3.8E-3</v>
      </c>
      <c r="F30" s="30">
        <v>6.5727699530516492E-2</v>
      </c>
      <c r="G30" s="30">
        <v>0.20590332240125481</v>
      </c>
      <c r="H30" s="30">
        <v>0.21740000000000001</v>
      </c>
      <c r="I30" s="30">
        <v>0.22434473567303406</v>
      </c>
      <c r="J30" s="30">
        <v>0.1734</v>
      </c>
      <c r="K30" s="30">
        <v>0.37440000000000001</v>
      </c>
      <c r="L30" s="30">
        <v>0.54420000000000002</v>
      </c>
      <c r="M30" s="30">
        <v>0.15759999999999999</v>
      </c>
      <c r="N30" s="30">
        <v>0.16220000000000001</v>
      </c>
      <c r="O30" s="30">
        <v>0.4304</v>
      </c>
      <c r="P30" s="30">
        <v>0.27229999999999999</v>
      </c>
      <c r="Q30" s="30">
        <v>0.16500000000000001</v>
      </c>
      <c r="R30" s="30">
        <v>5.0299999999999997E-2</v>
      </c>
      <c r="S30" s="30">
        <v>0.72040000000000004</v>
      </c>
      <c r="T30" s="30">
        <v>1.0584</v>
      </c>
      <c r="U30" s="30">
        <v>0.91239999999999999</v>
      </c>
      <c r="V30" s="30">
        <v>0.53039999999999998</v>
      </c>
      <c r="W30" s="30">
        <v>5.8799999999999998E-2</v>
      </c>
      <c r="X30" s="30">
        <v>0.49130000000000001</v>
      </c>
      <c r="Y30" s="30"/>
      <c r="AB30" s="24"/>
      <c r="AC30" s="25"/>
      <c r="AD30" s="25"/>
      <c r="AE30" s="25"/>
      <c r="AF30" s="16"/>
    </row>
    <row r="31" spans="1:39" x14ac:dyDescent="0.35">
      <c r="A31" s="29">
        <v>2004</v>
      </c>
      <c r="B31" s="30">
        <v>0.1074</v>
      </c>
      <c r="C31" s="30">
        <v>8.5900000000000004E-2</v>
      </c>
      <c r="D31" s="30">
        <v>1.23E-2</v>
      </c>
      <c r="E31" s="30">
        <v>4.4900000000000002E-2</v>
      </c>
      <c r="F31" s="30">
        <v>8.810572687224677E-2</v>
      </c>
      <c r="G31" s="30">
        <v>6.030507272082309E-2</v>
      </c>
      <c r="H31" s="30">
        <v>4.3999999999999997E-2</v>
      </c>
      <c r="I31" s="30">
        <v>0.33417997097242397</v>
      </c>
      <c r="J31" s="30">
        <v>0.25019999999999998</v>
      </c>
      <c r="K31" s="30">
        <v>9.5899999999999999E-2</v>
      </c>
      <c r="L31" s="30">
        <v>0.29120000000000001</v>
      </c>
      <c r="M31" s="30">
        <v>-0.17949999999999999</v>
      </c>
      <c r="N31" s="30">
        <v>0.10290000000000001</v>
      </c>
      <c r="O31" s="30">
        <v>0.19159999999999999</v>
      </c>
      <c r="P31" s="30">
        <v>0.1782</v>
      </c>
      <c r="Q31" s="30">
        <v>1.1000000000000001E-3</v>
      </c>
      <c r="R31" s="30">
        <v>-4.3E-3</v>
      </c>
      <c r="S31" s="30">
        <v>-8.5000000000000006E-2</v>
      </c>
      <c r="T31" s="30">
        <v>-0.2702</v>
      </c>
      <c r="U31" s="30">
        <v>-0.19120000000000001</v>
      </c>
      <c r="V31" s="30">
        <v>6.2100000000000002E-2</v>
      </c>
      <c r="W31" s="30">
        <v>-2.3699999999999999E-2</v>
      </c>
      <c r="X31" s="30">
        <v>2.0135999999999998</v>
      </c>
      <c r="Y31" s="30"/>
      <c r="AB31" s="24"/>
      <c r="AC31" s="25"/>
      <c r="AD31" s="25"/>
      <c r="AE31" s="26"/>
      <c r="AF31" s="16"/>
    </row>
    <row r="32" spans="1:39" x14ac:dyDescent="0.35">
      <c r="A32" s="29">
        <v>2005</v>
      </c>
      <c r="B32" s="30">
        <v>4.8300000000000003E-2</v>
      </c>
      <c r="C32" s="30">
        <v>1.37E-2</v>
      </c>
      <c r="D32" s="30">
        <v>3.0099999999999998E-2</v>
      </c>
      <c r="E32" s="30">
        <v>2.87E-2</v>
      </c>
      <c r="F32" s="30">
        <v>-0.20647773279352236</v>
      </c>
      <c r="G32" s="30">
        <v>6.1447529831604827E-2</v>
      </c>
      <c r="H32" s="30">
        <v>0.1777</v>
      </c>
      <c r="I32" s="30">
        <v>0.36741909165080222</v>
      </c>
      <c r="J32" s="30">
        <v>9.5799999999999996E-2</v>
      </c>
      <c r="K32" s="30">
        <v>1.06E-2</v>
      </c>
      <c r="L32" s="30">
        <v>5.1799999999999999E-2</v>
      </c>
      <c r="M32" s="30">
        <v>-3.1899999999999998E-2</v>
      </c>
      <c r="N32" s="30">
        <v>5.0799999999999998E-2</v>
      </c>
      <c r="O32" s="30">
        <v>-0.13780000000000001</v>
      </c>
      <c r="P32" s="30">
        <v>-3.9699999999999999E-2</v>
      </c>
      <c r="Q32" s="30">
        <v>-0.15479999999999999</v>
      </c>
      <c r="R32" s="30">
        <v>-0.114</v>
      </c>
      <c r="S32" s="30">
        <v>-0.47270000000000001</v>
      </c>
      <c r="T32" s="30">
        <v>6.7100000000000007E-2</v>
      </c>
      <c r="U32" s="30">
        <v>-2.8400000000000002E-2</v>
      </c>
      <c r="V32" s="30">
        <v>1.7399999999999999E-2</v>
      </c>
      <c r="W32" s="30">
        <v>-2.1299999999999999E-2</v>
      </c>
      <c r="X32" s="30">
        <v>1.2325999999999999</v>
      </c>
      <c r="Y32" s="30"/>
      <c r="AB32" s="24"/>
      <c r="AC32" s="25"/>
      <c r="AD32" s="25"/>
      <c r="AE32" s="25"/>
      <c r="AF32" s="16"/>
    </row>
    <row r="33" spans="1:32" x14ac:dyDescent="0.35">
      <c r="A33" s="29">
        <v>2006</v>
      </c>
      <c r="B33" s="30">
        <v>0.15609999999999999</v>
      </c>
      <c r="C33" s="30">
        <v>9.5200000000000007E-2</v>
      </c>
      <c r="D33" s="30">
        <v>4.6800000000000001E-2</v>
      </c>
      <c r="E33" s="30">
        <v>1.9599999999999999E-2</v>
      </c>
      <c r="F33" s="30">
        <v>0.16326530612244891</v>
      </c>
      <c r="G33" s="30">
        <v>-2.9312880857323032E-2</v>
      </c>
      <c r="H33" s="30">
        <v>0.2392</v>
      </c>
      <c r="I33" s="30">
        <v>0.18715194908512323</v>
      </c>
      <c r="J33" s="30">
        <v>0.36430000000000001</v>
      </c>
      <c r="K33" s="30">
        <v>0.49309999999999998</v>
      </c>
      <c r="L33" s="30">
        <v>0.31469999999999998</v>
      </c>
      <c r="M33" s="30">
        <v>0.19700000000000001</v>
      </c>
      <c r="N33" s="30">
        <v>0.1104</v>
      </c>
      <c r="O33" s="30">
        <v>0.42970000000000003</v>
      </c>
      <c r="P33" s="30">
        <v>6.1600000000000002E-2</v>
      </c>
      <c r="Q33" s="30">
        <v>0.2354</v>
      </c>
      <c r="R33" s="30">
        <v>-1.32E-2</v>
      </c>
      <c r="S33" s="30">
        <v>-2.7199999999999998E-2</v>
      </c>
      <c r="T33" s="30">
        <v>-0.18870000000000001</v>
      </c>
      <c r="U33" s="30">
        <v>-8.3599999999999994E-2</v>
      </c>
      <c r="V33" s="30">
        <v>0.21690000000000001</v>
      </c>
      <c r="W33" s="30">
        <v>0.1419</v>
      </c>
      <c r="X33" s="30">
        <v>0.18010000000000001</v>
      </c>
      <c r="Y33" s="30"/>
      <c r="AB33" s="24"/>
      <c r="AC33" s="25"/>
      <c r="AD33" s="25"/>
      <c r="AE33" s="25"/>
      <c r="AF33" s="16"/>
    </row>
    <row r="34" spans="1:32" x14ac:dyDescent="0.35">
      <c r="A34" s="29">
        <v>2007</v>
      </c>
      <c r="B34" s="30">
        <v>5.4800000000000001E-2</v>
      </c>
      <c r="C34" s="30">
        <v>9.8100000000000007E-2</v>
      </c>
      <c r="D34" s="30">
        <v>4.6399999999999997E-2</v>
      </c>
      <c r="E34" s="30">
        <v>0.1021</v>
      </c>
      <c r="F34" s="30">
        <v>0.48684210526315808</v>
      </c>
      <c r="G34" s="30">
        <v>3.2471046650070355E-2</v>
      </c>
      <c r="H34" s="30">
        <v>0.31590000000000001</v>
      </c>
      <c r="I34" s="30">
        <v>0.11442452672139385</v>
      </c>
      <c r="J34" s="30">
        <v>0.22259999999999999</v>
      </c>
      <c r="K34" s="30">
        <v>-9.2799999999999994E-2</v>
      </c>
      <c r="L34" s="30">
        <v>0.32890000000000003</v>
      </c>
      <c r="M34" s="30">
        <v>0.27189999999999998</v>
      </c>
      <c r="N34" s="30">
        <v>0.1424</v>
      </c>
      <c r="O34" s="30">
        <v>-5.8099999999999999E-2</v>
      </c>
      <c r="P34" s="30">
        <v>-3.8E-3</v>
      </c>
      <c r="Q34" s="30">
        <v>0.1527</v>
      </c>
      <c r="R34" s="30">
        <v>2.92E-2</v>
      </c>
      <c r="S34" s="30">
        <v>-0.10390000000000001</v>
      </c>
      <c r="T34" s="30">
        <v>0.3165</v>
      </c>
      <c r="U34" s="30">
        <v>-3.56E-2</v>
      </c>
      <c r="V34" s="30">
        <v>-9.6299999999999997E-2</v>
      </c>
      <c r="W34" s="30">
        <v>0.19220000000000001</v>
      </c>
      <c r="X34" s="30">
        <v>1.3347</v>
      </c>
      <c r="Y34" s="30"/>
      <c r="AB34" s="24"/>
      <c r="AC34" s="25"/>
      <c r="AD34" s="25"/>
      <c r="AE34" s="25"/>
      <c r="AF34" s="16"/>
    </row>
    <row r="35" spans="1:32" x14ac:dyDescent="0.35">
      <c r="A35" s="29">
        <v>2008</v>
      </c>
      <c r="B35" s="30">
        <v>-0.36549999999999999</v>
      </c>
      <c r="C35" s="30">
        <v>-0.40539999999999998</v>
      </c>
      <c r="D35" s="30">
        <v>1.5900000000000001E-2</v>
      </c>
      <c r="E35" s="30">
        <v>0.20100000000000001</v>
      </c>
      <c r="F35" s="30">
        <v>0.41002949852507375</v>
      </c>
      <c r="G35" s="30">
        <v>-1.048327916972429E-2</v>
      </c>
      <c r="H35" s="30">
        <v>3.9699999999999999E-2</v>
      </c>
      <c r="I35" s="30">
        <v>0.413710162357186</v>
      </c>
      <c r="J35" s="30">
        <v>-0.1479</v>
      </c>
      <c r="K35" s="30">
        <v>-0.28960000000000002</v>
      </c>
      <c r="L35" s="30">
        <v>5.57E-2</v>
      </c>
      <c r="M35" s="30">
        <v>-0.26229999999999998</v>
      </c>
      <c r="N35" s="30">
        <v>-0.158</v>
      </c>
      <c r="O35" s="30">
        <v>-0.29709999999999998</v>
      </c>
      <c r="P35" s="30">
        <v>-0.56299999999999994</v>
      </c>
      <c r="Q35" s="30">
        <v>-4.9500000000000002E-2</v>
      </c>
      <c r="R35" s="30">
        <v>0.17949999999999999</v>
      </c>
      <c r="S35" s="30">
        <v>-0.65969999999999995</v>
      </c>
      <c r="T35" s="30">
        <v>-0.4501</v>
      </c>
      <c r="U35" s="30">
        <v>-0.4</v>
      </c>
      <c r="V35" s="30">
        <v>-0.2777</v>
      </c>
      <c r="W35" s="30">
        <v>-0.4617</v>
      </c>
      <c r="X35" s="30">
        <v>-0.56910000000000005</v>
      </c>
      <c r="Y35" s="30"/>
      <c r="AB35" s="24"/>
      <c r="AC35" s="25"/>
      <c r="AD35" s="25"/>
      <c r="AE35" s="25"/>
      <c r="AF35" s="16"/>
    </row>
    <row r="36" spans="1:32" x14ac:dyDescent="0.35">
      <c r="A36" s="29">
        <v>2009</v>
      </c>
      <c r="B36" s="30">
        <v>0.25940000000000002</v>
      </c>
      <c r="C36" s="30">
        <v>0.43890000000000001</v>
      </c>
      <c r="D36" s="30">
        <v>1.4E-3</v>
      </c>
      <c r="E36" s="30">
        <v>-0.11119999999999999</v>
      </c>
      <c r="F36" s="30">
        <v>-0.21548117154811719</v>
      </c>
      <c r="G36" s="30">
        <v>-9.5666913867994502E-2</v>
      </c>
      <c r="H36" s="30">
        <v>0.25040000000000001</v>
      </c>
      <c r="I36" s="30">
        <v>-0.4007868991918333</v>
      </c>
      <c r="J36" s="30">
        <v>-0.14580000000000001</v>
      </c>
      <c r="K36" s="30">
        <v>0.43099999999999999</v>
      </c>
      <c r="L36" s="30">
        <v>4.0000000000000001E-3</v>
      </c>
      <c r="M36" s="30">
        <v>0.2591</v>
      </c>
      <c r="N36" s="30">
        <v>-1.9199999999999998E-2</v>
      </c>
      <c r="O36" s="30">
        <v>0.42130000000000001</v>
      </c>
      <c r="P36" s="30">
        <v>-6.6000000000000003E-2</v>
      </c>
      <c r="Q36" s="30">
        <v>1.1599999999999999E-2</v>
      </c>
      <c r="R36" s="30">
        <v>-4.6600000000000003E-2</v>
      </c>
      <c r="S36" s="30">
        <v>3.3668</v>
      </c>
      <c r="T36" s="30">
        <v>0.39150000000000001</v>
      </c>
      <c r="U36" s="30">
        <v>0.66039999999999999</v>
      </c>
      <c r="V36" s="30">
        <v>0.3216</v>
      </c>
      <c r="W36" s="30">
        <v>0.56789999999999996</v>
      </c>
      <c r="X36" s="30">
        <v>1.4690000000000001</v>
      </c>
      <c r="Y36" s="30"/>
      <c r="AB36" s="24"/>
      <c r="AC36" s="25"/>
      <c r="AD36" s="25"/>
      <c r="AE36" s="25"/>
      <c r="AF36" s="16"/>
    </row>
    <row r="37" spans="1:32" x14ac:dyDescent="0.35">
      <c r="A37" s="29">
        <v>2010</v>
      </c>
      <c r="B37" s="30">
        <v>0.1482</v>
      </c>
      <c r="C37" s="30">
        <v>0.1691</v>
      </c>
      <c r="D37" s="30">
        <v>1.2999999999999999E-3</v>
      </c>
      <c r="E37" s="30">
        <v>8.4599999999999995E-2</v>
      </c>
      <c r="F37" s="30">
        <v>2.1333333333333353E-2</v>
      </c>
      <c r="G37" s="30">
        <v>0.13847235238987826</v>
      </c>
      <c r="H37" s="30">
        <v>0.30599999999999999</v>
      </c>
      <c r="I37" s="30">
        <v>0.32582076308784369</v>
      </c>
      <c r="J37" s="30">
        <v>7.2300000000000003E-2</v>
      </c>
      <c r="K37" s="30">
        <v>0.23449999999999999</v>
      </c>
      <c r="L37" s="30">
        <v>0.2293</v>
      </c>
      <c r="M37" s="30">
        <v>0.15390000000000001</v>
      </c>
      <c r="N37" s="30">
        <v>6.0999999999999999E-2</v>
      </c>
      <c r="O37" s="30">
        <v>0.16309999999999999</v>
      </c>
      <c r="P37" s="30">
        <v>0.2089</v>
      </c>
      <c r="Q37" s="30">
        <v>-0.11260000000000001</v>
      </c>
      <c r="R37" s="30">
        <v>8.9999999999999993E-3</v>
      </c>
      <c r="S37" s="30">
        <v>0.67900000000000005</v>
      </c>
      <c r="T37" s="30">
        <v>3.09E-2</v>
      </c>
      <c r="U37" s="30">
        <v>0.1928</v>
      </c>
      <c r="V37" s="30">
        <v>1.7999999999999999E-2</v>
      </c>
      <c r="W37" s="30">
        <v>-8.43E-2</v>
      </c>
      <c r="X37" s="30">
        <v>0.53069999999999995</v>
      </c>
      <c r="Y37" s="30">
        <v>99</v>
      </c>
      <c r="AB37" s="24"/>
      <c r="AC37" s="25"/>
      <c r="AD37" s="25"/>
      <c r="AE37" s="25"/>
      <c r="AF37" s="16"/>
    </row>
    <row r="38" spans="1:32" x14ac:dyDescent="0.35">
      <c r="A38" s="29">
        <v>2011</v>
      </c>
      <c r="B38" s="30">
        <v>2.1000000000000001E-2</v>
      </c>
      <c r="C38" s="30">
        <v>-1.7999999999999999E-2</v>
      </c>
      <c r="D38" s="30">
        <v>2.9999999999999997E-4</v>
      </c>
      <c r="E38" s="30">
        <v>0.16039999999999999</v>
      </c>
      <c r="F38" s="30">
        <v>0.56919060052219317</v>
      </c>
      <c r="G38" s="30">
        <v>0.20570076147355415</v>
      </c>
      <c r="H38" s="30">
        <v>7.8E-2</v>
      </c>
      <c r="I38" s="30">
        <v>0.28135457100789735</v>
      </c>
      <c r="J38" s="30">
        <v>0.15920000000000001</v>
      </c>
      <c r="K38" s="30">
        <v>0.24529999999999999</v>
      </c>
      <c r="L38" s="30">
        <v>0.30709999999999998</v>
      </c>
      <c r="M38" s="30">
        <v>6.3899999999999998E-2</v>
      </c>
      <c r="N38" s="30">
        <v>3.6999999999999998E-2</v>
      </c>
      <c r="O38" s="30">
        <v>-2.9999999999999997E-4</v>
      </c>
      <c r="P38" s="30">
        <v>-2.0799999999999999E-2</v>
      </c>
      <c r="Q38" s="30">
        <v>0.17369999999999999</v>
      </c>
      <c r="R38" s="30">
        <v>0.1081</v>
      </c>
      <c r="S38" s="30">
        <v>-0.35909999999999997</v>
      </c>
      <c r="T38" s="30">
        <v>0.15310000000000001</v>
      </c>
      <c r="U38" s="30">
        <v>-5.0200000000000002E-2</v>
      </c>
      <c r="V38" s="30">
        <v>-0.2162</v>
      </c>
      <c r="W38" s="30">
        <v>-6.9900000000000004E-2</v>
      </c>
      <c r="X38" s="30">
        <v>0.25559999999999999</v>
      </c>
      <c r="Y38" s="30">
        <v>14.73</v>
      </c>
      <c r="AB38" s="24"/>
      <c r="AC38" s="25"/>
      <c r="AD38" s="25"/>
      <c r="AE38" s="26"/>
      <c r="AF38" s="16"/>
    </row>
    <row r="39" spans="1:32" x14ac:dyDescent="0.35">
      <c r="A39" s="29">
        <v>2012</v>
      </c>
      <c r="B39" s="30">
        <v>0.15890000000000001</v>
      </c>
      <c r="C39" s="30">
        <v>0.15909999999999999</v>
      </c>
      <c r="D39" s="30">
        <v>5.0000000000000001E-4</v>
      </c>
      <c r="E39" s="30">
        <v>2.9700000000000001E-2</v>
      </c>
      <c r="F39" s="30">
        <v>0.10981697171381034</v>
      </c>
      <c r="G39" s="30">
        <v>7.7494239139711513E-2</v>
      </c>
      <c r="H39" s="30">
        <v>8.6800000000000002E-2</v>
      </c>
      <c r="I39" s="30">
        <v>-1.2639715867544216E-2</v>
      </c>
      <c r="J39" s="30">
        <v>2.1100000000000001E-2</v>
      </c>
      <c r="K39" s="30">
        <v>-7.1000000000000004E-3</v>
      </c>
      <c r="L39" s="30">
        <v>-0.1208</v>
      </c>
      <c r="M39" s="30">
        <v>3.6200000000000003E-2</v>
      </c>
      <c r="N39" s="30">
        <v>1.77E-2</v>
      </c>
      <c r="O39" s="30">
        <v>0.32769999999999999</v>
      </c>
      <c r="P39" s="30">
        <v>0.17199999999999999</v>
      </c>
      <c r="Q39" s="30">
        <v>0.16489999999999999</v>
      </c>
      <c r="R39" s="30">
        <v>0.14169999999999999</v>
      </c>
      <c r="S39" s="30">
        <v>0.20349999999999999</v>
      </c>
      <c r="T39" s="30">
        <v>-0.1497</v>
      </c>
      <c r="U39" s="30">
        <v>0.17549999999999999</v>
      </c>
      <c r="V39" s="30">
        <v>0.32240000000000002</v>
      </c>
      <c r="W39" s="30">
        <v>2.8899999999999999E-2</v>
      </c>
      <c r="X39" s="30">
        <v>0.314</v>
      </c>
      <c r="Y39" s="30">
        <v>1.86</v>
      </c>
      <c r="AB39" s="24"/>
      <c r="AC39" s="25"/>
      <c r="AD39" s="25"/>
      <c r="AE39" s="25"/>
      <c r="AF39" s="16"/>
    </row>
    <row r="40" spans="1:32" x14ac:dyDescent="0.35">
      <c r="A40" s="29">
        <v>2013</v>
      </c>
      <c r="B40" s="30">
        <v>0.32150000000000001</v>
      </c>
      <c r="C40" s="30">
        <v>0.38319999999999999</v>
      </c>
      <c r="D40" s="30">
        <v>6.9999999999999999E-4</v>
      </c>
      <c r="E40" s="30">
        <v>-9.0999999999999998E-2</v>
      </c>
      <c r="F40" s="30">
        <v>-7.7961019490254815E-2</v>
      </c>
      <c r="G40" s="30">
        <v>4.5940594059405808E-3</v>
      </c>
      <c r="H40" s="30">
        <v>-0.4</v>
      </c>
      <c r="I40" s="30">
        <v>1.5552264071096052E-2</v>
      </c>
      <c r="J40" s="30">
        <v>0.16930000000000001</v>
      </c>
      <c r="K40" s="30">
        <v>0.20399999999999999</v>
      </c>
      <c r="L40" s="30">
        <v>0.1</v>
      </c>
      <c r="M40" s="30">
        <v>0.1396</v>
      </c>
      <c r="N40" s="30">
        <v>0.1991</v>
      </c>
      <c r="O40" s="30">
        <v>0.53439999999999999</v>
      </c>
      <c r="P40" s="30">
        <v>0.33539999999999998</v>
      </c>
      <c r="Q40" s="30">
        <v>0.1704</v>
      </c>
      <c r="R40" s="30">
        <v>0.15329999999999999</v>
      </c>
      <c r="S40" s="30">
        <v>0.1915</v>
      </c>
      <c r="T40" s="30">
        <v>0.25869999999999999</v>
      </c>
      <c r="U40" s="30">
        <v>0.2109</v>
      </c>
      <c r="V40" s="30">
        <v>0.33</v>
      </c>
      <c r="W40" s="30">
        <v>0.40060000000000001</v>
      </c>
      <c r="X40" s="30">
        <v>5.4199999999999998E-2</v>
      </c>
      <c r="Y40" s="30">
        <v>55.07</v>
      </c>
      <c r="AB40" s="24"/>
      <c r="AC40" s="25"/>
      <c r="AD40" s="25"/>
      <c r="AE40" s="25"/>
      <c r="AF40" s="16"/>
    </row>
    <row r="41" spans="1:32" x14ac:dyDescent="0.35">
      <c r="A41" s="29">
        <v>2014</v>
      </c>
      <c r="B41" s="30">
        <v>0.13519999999999999</v>
      </c>
      <c r="C41" s="30">
        <v>0.13400000000000001</v>
      </c>
      <c r="D41" s="30">
        <v>5.0000000000000001E-4</v>
      </c>
      <c r="E41" s="30">
        <v>0.1075</v>
      </c>
      <c r="F41" s="30">
        <v>-0.33170731707317069</v>
      </c>
      <c r="G41" s="30">
        <v>0.21682567215958382</v>
      </c>
      <c r="H41" s="30">
        <v>-0.11600000000000001</v>
      </c>
      <c r="I41" s="30">
        <v>-8.959266590269814E-2</v>
      </c>
      <c r="J41" s="30">
        <v>-8.6499999999999994E-2</v>
      </c>
      <c r="K41" s="30">
        <v>4.6600000000000003E-2</v>
      </c>
      <c r="L41" s="30">
        <v>-3.4299999999999997E-2</v>
      </c>
      <c r="M41" s="30">
        <v>2.1999999999999999E-2</v>
      </c>
      <c r="N41" s="30">
        <v>0.11890000000000001</v>
      </c>
      <c r="O41" s="30">
        <v>0.2329</v>
      </c>
      <c r="P41" s="30">
        <v>-9.8500000000000004E-2</v>
      </c>
      <c r="Q41" s="30">
        <v>0.17449999999999999</v>
      </c>
      <c r="R41" s="30">
        <v>9.1399999999999995E-2</v>
      </c>
      <c r="S41" s="30">
        <v>4.4999999999999997E-3</v>
      </c>
      <c r="T41" s="30">
        <v>0.3982</v>
      </c>
      <c r="U41" s="30">
        <v>9.01E-2</v>
      </c>
      <c r="V41" s="30">
        <v>7.0099999999999996E-2</v>
      </c>
      <c r="W41" s="30">
        <v>0.24160000000000001</v>
      </c>
      <c r="X41" s="30">
        <v>0.37719999999999998</v>
      </c>
      <c r="Y41" s="30">
        <v>-0.57999999999999996</v>
      </c>
      <c r="AB41" s="24"/>
      <c r="AC41" s="25"/>
      <c r="AD41" s="25"/>
      <c r="AE41" s="26"/>
      <c r="AF41" s="16"/>
    </row>
    <row r="42" spans="1:32" x14ac:dyDescent="0.35">
      <c r="A42" s="29">
        <v>2015</v>
      </c>
      <c r="B42" s="30">
        <v>1.3599999999999999E-2</v>
      </c>
      <c r="C42" s="30">
        <v>5.7299999999999997E-2</v>
      </c>
      <c r="D42" s="30">
        <v>2.0999999999999999E-3</v>
      </c>
      <c r="E42" s="30">
        <v>1.2800000000000001E-2</v>
      </c>
      <c r="F42" s="30">
        <v>-9.9756690997566941E-2</v>
      </c>
      <c r="G42" s="30">
        <v>-3.2398107950495691E-2</v>
      </c>
      <c r="H42" s="30">
        <v>-0.27600000000000002</v>
      </c>
      <c r="I42" s="30">
        <v>-0.49204714498226343</v>
      </c>
      <c r="J42" s="30">
        <v>-0.15679999999999999</v>
      </c>
      <c r="K42" s="30">
        <v>-0.25900000000000001</v>
      </c>
      <c r="L42" s="30">
        <v>0.26079999999999998</v>
      </c>
      <c r="M42" s="30">
        <v>1.7500000000000002E-2</v>
      </c>
      <c r="N42" s="30">
        <v>-0.12820000000000001</v>
      </c>
      <c r="O42" s="30">
        <v>0.11559999999999999</v>
      </c>
      <c r="P42" s="30">
        <v>0.23269999999999999</v>
      </c>
      <c r="Q42" s="30">
        <v>-2.3999999999999998E-3</v>
      </c>
      <c r="R42" s="30">
        <v>-0.28620000000000001</v>
      </c>
      <c r="S42" s="30">
        <v>-9.0999999999999998E-2</v>
      </c>
      <c r="T42" s="30">
        <v>-5.0700000000000002E-2</v>
      </c>
      <c r="U42" s="30">
        <v>-3.5999999999999999E-3</v>
      </c>
      <c r="V42" s="30">
        <v>5.5100000000000003E-2</v>
      </c>
      <c r="W42" s="30">
        <v>0.19439999999999999</v>
      </c>
      <c r="X42" s="30">
        <v>-4.6399999999999997E-2</v>
      </c>
      <c r="Y42" s="30">
        <v>0.35</v>
      </c>
      <c r="AB42" s="24"/>
      <c r="AC42" s="25"/>
      <c r="AD42" s="25"/>
      <c r="AE42" s="25"/>
      <c r="AF42" s="16"/>
    </row>
    <row r="43" spans="1:32" x14ac:dyDescent="0.35">
      <c r="A43" s="29">
        <v>2016</v>
      </c>
      <c r="B43" s="30">
        <v>0.1196</v>
      </c>
      <c r="C43" s="30">
        <v>7.4999999999999997E-2</v>
      </c>
      <c r="D43" s="30">
        <v>2.5999999999999999E-3</v>
      </c>
      <c r="E43" s="30">
        <v>7.6799999999999993E-2</v>
      </c>
      <c r="F43" s="30">
        <v>-1.8800000000000001E-2</v>
      </c>
      <c r="G43" s="30">
        <v>-0.1517</v>
      </c>
      <c r="H43" s="30">
        <v>8.6300000000000002E-2</v>
      </c>
      <c r="I43" s="30">
        <v>0.45029999999999998</v>
      </c>
      <c r="J43" s="30">
        <v>0.15790000000000001</v>
      </c>
      <c r="K43" s="30">
        <v>0.27229999999999999</v>
      </c>
      <c r="L43" s="30">
        <v>3.0300000000000001E-2</v>
      </c>
      <c r="M43" s="30">
        <v>-3.49E-2</v>
      </c>
      <c r="N43" s="30">
        <v>5.8799999999999998E-2</v>
      </c>
      <c r="O43" s="30">
        <v>-8.2000000000000007E-3</v>
      </c>
      <c r="P43" s="30">
        <v>1.44E-2</v>
      </c>
      <c r="Q43" s="30">
        <v>-0.1447</v>
      </c>
      <c r="R43" s="30">
        <v>0.12759999999999999</v>
      </c>
      <c r="S43" s="30">
        <v>-0.1391</v>
      </c>
      <c r="T43" s="30">
        <v>5.28E-2</v>
      </c>
      <c r="U43" s="30">
        <v>0.31269999999999998</v>
      </c>
      <c r="V43" s="30">
        <v>0.30680000000000002</v>
      </c>
      <c r="W43" s="30">
        <v>0.12</v>
      </c>
      <c r="X43" s="30">
        <v>0.1003</v>
      </c>
      <c r="Y43" s="30">
        <v>1.25</v>
      </c>
      <c r="AB43" s="24"/>
      <c r="AC43" s="25"/>
      <c r="AD43" s="25"/>
      <c r="AE43" s="25"/>
      <c r="AF43" s="16"/>
    </row>
    <row r="44" spans="1:32" x14ac:dyDescent="0.35">
      <c r="A44" s="29">
        <v>2017</v>
      </c>
      <c r="B44" s="30">
        <v>0.21829999999999999</v>
      </c>
      <c r="C44" s="30">
        <v>0.28239999999999998</v>
      </c>
      <c r="D44" s="30">
        <v>5.1999999999999998E-3</v>
      </c>
      <c r="E44" s="30">
        <v>-1.5900000000000001E-2</v>
      </c>
      <c r="F44" s="30">
        <v>-3.5999999999999999E-3</v>
      </c>
      <c r="G44" s="30">
        <v>4.7399999999999998E-2</v>
      </c>
      <c r="H44" s="30">
        <v>0.12570000000000001</v>
      </c>
      <c r="I44" s="30">
        <v>0.12470000000000001</v>
      </c>
      <c r="J44" s="30">
        <v>-7.3300000000000004E-2</v>
      </c>
      <c r="K44" s="30">
        <v>-1.61E-2</v>
      </c>
      <c r="L44" s="30">
        <v>0.41410000000000002</v>
      </c>
      <c r="M44" s="30">
        <v>0.1066</v>
      </c>
      <c r="N44" s="30">
        <v>9.2799999999999994E-2</v>
      </c>
      <c r="O44" s="30">
        <v>3.1600000000000003E-2</v>
      </c>
      <c r="P44" s="30">
        <v>-0.44779999999999998</v>
      </c>
      <c r="Q44" s="30">
        <v>0.48580000000000001</v>
      </c>
      <c r="R44" s="30">
        <v>0.42870000000000003</v>
      </c>
      <c r="S44" s="30">
        <v>2.9700000000000001E-2</v>
      </c>
      <c r="T44" s="30">
        <v>0.2727</v>
      </c>
      <c r="U44" s="30">
        <v>0.22600000000000001</v>
      </c>
      <c r="V44" s="30">
        <v>0.23930000000000001</v>
      </c>
      <c r="W44" s="30">
        <v>0.37659999999999999</v>
      </c>
      <c r="X44" s="30">
        <v>0.46110000000000001</v>
      </c>
      <c r="Y44" s="30">
        <v>13.31</v>
      </c>
      <c r="AB44" s="24"/>
      <c r="AC44" s="25"/>
      <c r="AD44" s="25"/>
      <c r="AE44" s="25"/>
      <c r="AF44" s="16"/>
    </row>
    <row r="45" spans="1:32" x14ac:dyDescent="0.35">
      <c r="A45" s="29">
        <v>2018</v>
      </c>
      <c r="B45" s="30">
        <v>-4.3799999999999999E-2</v>
      </c>
      <c r="C45" s="30">
        <v>-3.8800000000000001E-2</v>
      </c>
      <c r="D45" s="30">
        <v>1.43E-2</v>
      </c>
      <c r="E45" s="30">
        <v>0.1183</v>
      </c>
      <c r="F45" s="30">
        <v>6.9099999999999995E-2</v>
      </c>
      <c r="G45" s="30">
        <v>1.9099999999999999E-2</v>
      </c>
      <c r="H45" s="30">
        <v>-1.15E-2</v>
      </c>
      <c r="I45" s="30">
        <v>-0.24840000000000001</v>
      </c>
      <c r="J45" s="30">
        <v>-0.1847</v>
      </c>
      <c r="K45" s="30">
        <v>0.1908</v>
      </c>
      <c r="L45" s="30">
        <v>3.1699999999999999E-2</v>
      </c>
      <c r="M45" s="30">
        <v>3.2000000000000001E-2</v>
      </c>
      <c r="N45" s="30">
        <v>4.0000000000000002E-4</v>
      </c>
      <c r="O45" s="30">
        <v>1.9900000000000001E-2</v>
      </c>
      <c r="P45" s="30">
        <v>-0.56620000000000004</v>
      </c>
      <c r="Q45" s="30">
        <v>0.26740000000000003</v>
      </c>
      <c r="R45" s="30">
        <v>-6.6699999999999995E-2</v>
      </c>
      <c r="S45" s="30">
        <v>-0.38750000000000001</v>
      </c>
      <c r="T45" s="30">
        <v>1.67E-2</v>
      </c>
      <c r="U45" s="30">
        <v>3.5900000000000001E-2</v>
      </c>
      <c r="V45" s="30">
        <v>-8.72E-2</v>
      </c>
      <c r="W45" s="30">
        <v>0.18740000000000001</v>
      </c>
      <c r="X45" s="30">
        <v>-6.7900000000000002E-2</v>
      </c>
      <c r="Y45" s="30">
        <v>-0.73</v>
      </c>
      <c r="AB45" s="24"/>
      <c r="AC45" s="25"/>
      <c r="AD45" s="25"/>
      <c r="AE45" s="26"/>
      <c r="AF45" s="16"/>
    </row>
    <row r="46" spans="1:32" x14ac:dyDescent="0.35">
      <c r="A46" s="29">
        <v>2019</v>
      </c>
      <c r="B46" s="30">
        <v>0.31490000000000001</v>
      </c>
      <c r="C46" s="30">
        <v>0.3523</v>
      </c>
      <c r="D46" s="30">
        <v>2.3400000000000001E-2</v>
      </c>
      <c r="E46" s="30">
        <v>-0.28620000000000001</v>
      </c>
      <c r="F46" s="30">
        <v>-8.5855466337245237E-2</v>
      </c>
      <c r="G46" s="30">
        <v>-0.15542643702012857</v>
      </c>
      <c r="H46" s="30">
        <v>0.1883</v>
      </c>
      <c r="I46" s="30">
        <v>0.34499999999999997</v>
      </c>
      <c r="J46" s="30">
        <v>2.3300000000000001E-2</v>
      </c>
      <c r="K46" s="30">
        <v>0.13469999999999999</v>
      </c>
      <c r="L46" s="30">
        <v>0.1129</v>
      </c>
      <c r="M46" s="30">
        <v>0.16900000000000001</v>
      </c>
      <c r="N46" s="30">
        <v>0.35880000000000001</v>
      </c>
      <c r="O46" s="30">
        <v>0.31900000000000001</v>
      </c>
      <c r="P46" s="30">
        <v>0.52980000000000005</v>
      </c>
      <c r="Q46" s="30">
        <v>0.2009</v>
      </c>
      <c r="R46" s="30">
        <v>0.27579999999999999</v>
      </c>
      <c r="S46" s="30">
        <v>0.2157</v>
      </c>
      <c r="T46" s="30">
        <v>0.27529999999999999</v>
      </c>
      <c r="U46" s="30">
        <v>0.3846</v>
      </c>
      <c r="V46" s="30">
        <v>0.42799999999999999</v>
      </c>
      <c r="W46" s="30">
        <v>0.55259999999999998</v>
      </c>
      <c r="X46" s="30">
        <v>0.86160000000000003</v>
      </c>
      <c r="Y46" s="30">
        <v>0.95</v>
      </c>
    </row>
    <row r="47" spans="1:32" x14ac:dyDescent="0.35">
      <c r="A47" s="29">
        <v>2020</v>
      </c>
      <c r="B47" s="30">
        <v>0.18</v>
      </c>
      <c r="C47" s="30">
        <v>0.43640000000000001</v>
      </c>
      <c r="D47" s="30">
        <v>8.9999999999999993E-3</v>
      </c>
      <c r="E47" s="30">
        <v>0.113</v>
      </c>
      <c r="F47" s="30">
        <v>0.44309999999999999</v>
      </c>
      <c r="G47" s="30">
        <v>-0.104</v>
      </c>
      <c r="H47" s="30">
        <v>0.24229999999999999</v>
      </c>
      <c r="I47" s="30">
        <v>0.24229999999999999</v>
      </c>
      <c r="J47" s="30">
        <v>-0.4093</v>
      </c>
      <c r="K47" s="30">
        <v>-0.28360000000000002</v>
      </c>
      <c r="L47" s="30">
        <v>8.5900000000000004E-2</v>
      </c>
      <c r="M47" s="30">
        <v>-9.1999999999999998E-3</v>
      </c>
      <c r="N47" s="30">
        <v>0.114</v>
      </c>
      <c r="O47" s="30">
        <v>0.25269999999999998</v>
      </c>
      <c r="P47" s="30">
        <v>-3.2300000000000002E-2</v>
      </c>
      <c r="Q47" s="30">
        <v>0.26050000000000001</v>
      </c>
      <c r="R47" s="30">
        <v>0.21299999999999999</v>
      </c>
      <c r="S47" s="30">
        <v>-5.4800000000000001E-2</v>
      </c>
      <c r="T47" s="30">
        <v>-0.1676</v>
      </c>
      <c r="U47" s="30">
        <v>0.24129999999999999</v>
      </c>
      <c r="V47" s="30">
        <v>-8.8499999999999995E-2</v>
      </c>
      <c r="W47" s="30">
        <v>0.41039999999999999</v>
      </c>
      <c r="X47" s="30">
        <v>0.8075</v>
      </c>
      <c r="Y47" s="30">
        <v>0.65</v>
      </c>
    </row>
    <row r="48" spans="1:32" x14ac:dyDescent="0.35">
      <c r="A48" s="29">
        <v>2021</v>
      </c>
      <c r="B48" s="30">
        <v>0.26889999999999997</v>
      </c>
      <c r="C48" s="30">
        <v>0.21390000000000001</v>
      </c>
      <c r="D48" s="30">
        <v>-0.96</v>
      </c>
      <c r="E48" s="30">
        <v>-0.28092105263157896</v>
      </c>
      <c r="F48" s="30">
        <v>0.1705963938973647</v>
      </c>
      <c r="G48" s="30">
        <v>-4.9000000000000002E-2</v>
      </c>
      <c r="H48" s="30">
        <v>-0.04</v>
      </c>
      <c r="I48" s="30">
        <v>0.16</v>
      </c>
      <c r="J48" s="30">
        <v>0.48449999999999999</v>
      </c>
      <c r="K48" s="30">
        <v>0.2046</v>
      </c>
      <c r="L48" s="30">
        <v>0.24929999999999999</v>
      </c>
      <c r="M48" s="30">
        <v>7.9699999999999993E-2</v>
      </c>
      <c r="N48" s="30">
        <v>0.1757</v>
      </c>
      <c r="O48" s="30">
        <v>-0.14149999999999999</v>
      </c>
      <c r="P48" s="30">
        <v>-0.14510000000000001</v>
      </c>
      <c r="Q48" s="30">
        <v>0.28539999999999999</v>
      </c>
      <c r="R48" s="30">
        <v>3.7000000000000002E-3</v>
      </c>
      <c r="S48" s="30">
        <v>1.3629</v>
      </c>
      <c r="T48" s="30">
        <v>3.3700000000000001E-2</v>
      </c>
      <c r="U48" s="30">
        <v>0.1898</v>
      </c>
      <c r="V48" s="30">
        <v>0.2462</v>
      </c>
      <c r="W48" s="30">
        <v>0.5121</v>
      </c>
      <c r="X48" s="30">
        <v>0.3382</v>
      </c>
      <c r="Y48" s="30">
        <v>0.6</v>
      </c>
    </row>
    <row r="49" spans="1:25" x14ac:dyDescent="0.35">
      <c r="A49" s="29">
        <v>2022</v>
      </c>
      <c r="B49" s="30">
        <v>-0.19439999999999999</v>
      </c>
      <c r="C49" s="30">
        <v>-0.33100000000000002</v>
      </c>
      <c r="D49" s="30">
        <v>2.6</v>
      </c>
      <c r="E49" s="30">
        <v>0.63037511436413551</v>
      </c>
      <c r="F49" s="30">
        <v>0.33945497630331756</v>
      </c>
      <c r="G49" s="30">
        <v>0.22</v>
      </c>
      <c r="H49" s="30">
        <v>-3.0000000000000001E-3</v>
      </c>
      <c r="I49" s="30">
        <v>0.42</v>
      </c>
      <c r="J49" s="30">
        <v>0.80259999999999998</v>
      </c>
      <c r="K49" s="30">
        <v>3.0499999999999999E-2</v>
      </c>
      <c r="L49" s="30">
        <v>-1.6899999999999998E-2</v>
      </c>
      <c r="M49" s="30">
        <v>7.4300000000000005E-2</v>
      </c>
      <c r="N49" s="30">
        <v>-7.3499999999999996E-2</v>
      </c>
      <c r="O49" s="30">
        <v>-0.43909999999999999</v>
      </c>
      <c r="P49" s="30">
        <v>-0.43909999999999999</v>
      </c>
      <c r="Q49" s="30">
        <v>-21.99</v>
      </c>
      <c r="R49" s="30">
        <v>-0.02</v>
      </c>
      <c r="S49" s="30">
        <v>-0.44009999999999999</v>
      </c>
      <c r="T49" s="30">
        <v>-0.48680000000000001</v>
      </c>
      <c r="U49" s="30">
        <v>-6.6799999999999998E-2</v>
      </c>
      <c r="V49" s="30">
        <v>-0.15310000000000001</v>
      </c>
      <c r="W49" s="30">
        <v>-0.28689999999999999</v>
      </c>
      <c r="X49" s="30">
        <v>-0.26829999999999998</v>
      </c>
      <c r="Y49" s="30">
        <v>-0.6</v>
      </c>
    </row>
    <row r="50" spans="1:25" x14ac:dyDescent="0.35">
      <c r="A50" s="29">
        <v>2023</v>
      </c>
      <c r="B50" s="30">
        <v>6.1699999999999998E-2</v>
      </c>
      <c r="C50" s="30">
        <v>-0.18647137475877607</v>
      </c>
      <c r="D50" s="30">
        <v>25.416</v>
      </c>
      <c r="E50" s="30">
        <v>0.98035914702581362</v>
      </c>
      <c r="F50" s="30">
        <v>0.17558602388323746</v>
      </c>
      <c r="G50" s="30">
        <v>0.193</v>
      </c>
      <c r="H50" s="30">
        <v>0.1</v>
      </c>
      <c r="I50" s="30">
        <v>-0.21</v>
      </c>
      <c r="J50" s="30">
        <v>5.3999999999999999E-2</v>
      </c>
      <c r="K50" s="30">
        <v>-0.04</v>
      </c>
      <c r="L50" s="30">
        <v>0.10639999999999999</v>
      </c>
      <c r="M50" s="30">
        <v>7.0000000000000001E-3</v>
      </c>
      <c r="N50" s="30">
        <v>0.03</v>
      </c>
      <c r="O50" s="30">
        <v>0.12640000000000001</v>
      </c>
      <c r="P50" s="30">
        <v>0.126</v>
      </c>
      <c r="Q50" s="30">
        <v>-1.8000000000000001E-4</v>
      </c>
      <c r="R50" s="30">
        <v>0.70899999999999996</v>
      </c>
      <c r="S50" s="30">
        <v>8.9999999999999993E-3</v>
      </c>
      <c r="T50" s="30">
        <v>9.4E-2</v>
      </c>
      <c r="U50" s="30">
        <v>0.1036</v>
      </c>
      <c r="V50" s="30">
        <v>0.02</v>
      </c>
      <c r="W50" s="30">
        <v>-0.19565924768970452</v>
      </c>
      <c r="X50" s="30">
        <v>-0.16965648399713557</v>
      </c>
      <c r="Y50" s="30">
        <v>0.72</v>
      </c>
    </row>
    <row r="51" spans="1:25" x14ac:dyDescent="0.35">
      <c r="B51" s="16"/>
      <c r="D51" s="28" t="s">
        <v>71</v>
      </c>
    </row>
  </sheetData>
  <conditionalFormatting sqref="B2:Y50">
    <cfRule type="colorScale" priority="1">
      <colorScale>
        <cfvo type="min"/>
        <cfvo type="percentile" val="50"/>
        <cfvo type="max"/>
        <color rgb="FF63BE7B"/>
        <color rgb="FFFCFCFF"/>
        <color rgb="FFF8696B"/>
      </colorScale>
    </cfRule>
    <cfRule type="colorScale" priority="5">
      <colorScale>
        <cfvo type="min"/>
        <cfvo type="max"/>
        <color rgb="FFFCFCFF"/>
        <color rgb="FF63BE7B"/>
      </colorScale>
    </cfRule>
  </conditionalFormatting>
  <pageMargins left="0.7" right="0.7" top="0.75" bottom="0.75" header="0.3" footer="0.3"/>
  <pageSetup orientation="portrait" horizontalDpi="4294967293" verticalDpi="4294967293"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64"/>
  <sheetViews>
    <sheetView topLeftCell="A2" zoomScale="91" zoomScaleNormal="115" workbookViewId="0">
      <selection activeCell="A8" sqref="A8:B8"/>
    </sheetView>
  </sheetViews>
  <sheetFormatPr defaultColWidth="8.81640625" defaultRowHeight="14.5" x14ac:dyDescent="0.35"/>
  <cols>
    <col min="1" max="3" width="12" customWidth="1"/>
    <col min="4" max="4" width="10.36328125" customWidth="1"/>
    <col min="5" max="9" width="7.453125" customWidth="1"/>
    <col min="10" max="10" width="8.6328125" bestFit="1" customWidth="1"/>
    <col min="11" max="14" width="7.453125" customWidth="1"/>
    <col min="15" max="15" width="7.81640625" customWidth="1"/>
    <col min="16" max="23" width="7.453125" customWidth="1"/>
    <col min="24" max="24" width="7.36328125" customWidth="1"/>
    <col min="25" max="25" width="7.453125" customWidth="1"/>
    <col min="26" max="26" width="12.453125" customWidth="1"/>
    <col min="27" max="27" width="7.1796875" bestFit="1" customWidth="1"/>
    <col min="28" max="28" width="8" bestFit="1" customWidth="1"/>
    <col min="30" max="30" width="9" bestFit="1" customWidth="1"/>
  </cols>
  <sheetData>
    <row r="1" spans="1:27" x14ac:dyDescent="0.35">
      <c r="C1" s="2" t="s">
        <v>18</v>
      </c>
      <c r="D1" t="s">
        <v>72</v>
      </c>
      <c r="E1" t="s">
        <v>74</v>
      </c>
      <c r="F1" s="25" t="s">
        <v>3</v>
      </c>
      <c r="G1" s="25" t="s">
        <v>2</v>
      </c>
      <c r="H1" s="25" t="s">
        <v>68</v>
      </c>
      <c r="I1" s="25" t="s">
        <v>36</v>
      </c>
      <c r="J1" s="25" t="s">
        <v>17</v>
      </c>
      <c r="K1" s="25" t="s">
        <v>16</v>
      </c>
      <c r="L1" s="25" t="s">
        <v>7</v>
      </c>
      <c r="M1" s="25" t="s">
        <v>35</v>
      </c>
      <c r="N1" s="25" t="s">
        <v>8</v>
      </c>
      <c r="O1" s="25" t="s">
        <v>1</v>
      </c>
      <c r="P1" s="25" t="s">
        <v>6</v>
      </c>
      <c r="Q1" s="25" t="s">
        <v>9</v>
      </c>
      <c r="R1" s="25" t="s">
        <v>11</v>
      </c>
      <c r="S1" s="25" t="s">
        <v>33</v>
      </c>
      <c r="T1" s="25" t="s">
        <v>32</v>
      </c>
      <c r="U1" s="25" t="s">
        <v>67</v>
      </c>
      <c r="V1" s="25" t="s">
        <v>15</v>
      </c>
      <c r="W1" s="25" t="s">
        <v>34</v>
      </c>
      <c r="X1" s="25" t="s">
        <v>5</v>
      </c>
      <c r="Y1" s="25" t="s">
        <v>4</v>
      </c>
      <c r="Z1" s="25"/>
      <c r="AA1" s="25"/>
    </row>
    <row r="2" spans="1:27" x14ac:dyDescent="0.35">
      <c r="C2" t="s">
        <v>72</v>
      </c>
      <c r="D2" s="3">
        <f ca="1">_xlfn.COVARIANCE.P(INDIRECT($C2),INDIRECT(D$1))</f>
        <v>3.647406127628354E-2</v>
      </c>
      <c r="E2" s="3">
        <f t="shared" ref="E2:Y14" ca="1" si="0">_xlfn.COVARIANCE.P(INDIRECT($C2),INDIRECT(E$1))</f>
        <v>0.49603069418503076</v>
      </c>
      <c r="F2" s="3">
        <f t="shared" ca="1" si="0"/>
        <v>-0.2416881779686503</v>
      </c>
      <c r="G2" s="3">
        <f t="shared" ca="1" si="0"/>
        <v>-1.6967731095378909E-2</v>
      </c>
      <c r="H2" s="3">
        <f t="shared" ca="1" si="0"/>
        <v>-4.1305411434346233E-2</v>
      </c>
      <c r="I2" s="3">
        <f t="shared" ca="1" si="0"/>
        <v>-1.1693770004636759</v>
      </c>
      <c r="J2" s="3">
        <f t="shared" ca="1" si="0"/>
        <v>5.2328679074479054E-3</v>
      </c>
      <c r="K2" s="3">
        <f t="shared" ca="1" si="0"/>
        <v>6.559224308341916E-3</v>
      </c>
      <c r="L2" s="3">
        <f t="shared" ca="1" si="0"/>
        <v>-7.5086176553367948E-3</v>
      </c>
      <c r="M2" s="3">
        <f t="shared" ca="1" si="0"/>
        <v>-5.7915883549826842E-3</v>
      </c>
      <c r="N2" s="3">
        <f t="shared" ca="1" si="0"/>
        <v>-2.5231014113339587E-2</v>
      </c>
      <c r="O2" s="3">
        <f t="shared" ca="1" si="0"/>
        <v>-4.4059160875588362E-3</v>
      </c>
      <c r="P2" s="3">
        <f t="shared" ca="1" si="0"/>
        <v>-2.0594017696441659E-3</v>
      </c>
      <c r="Q2" s="3">
        <f t="shared" ca="1" si="0"/>
        <v>-1.7688123858558752E-2</v>
      </c>
      <c r="R2" s="3">
        <f t="shared" ca="1" si="0"/>
        <v>-6.9432770170280789E-3</v>
      </c>
      <c r="S2" s="3">
        <f t="shared" ca="1" si="0"/>
        <v>3.2273350465584329E-3</v>
      </c>
      <c r="T2" s="3">
        <f t="shared" ca="1" si="0"/>
        <v>1.3044336674983411E-3</v>
      </c>
      <c r="U2" s="3">
        <f t="shared" ca="1" si="0"/>
        <v>-3.4965394164098329E-2</v>
      </c>
      <c r="V2" s="3">
        <f t="shared" ca="1" si="0"/>
        <v>3.3002855552321169E-4</v>
      </c>
      <c r="W2" s="3">
        <f t="shared" ca="1" si="0"/>
        <v>-1.9952408210915959E-3</v>
      </c>
      <c r="X2" s="3">
        <f t="shared" ca="1" si="0"/>
        <v>1.4002275658080654E-2</v>
      </c>
      <c r="Y2" s="3">
        <f t="shared" ca="1" si="0"/>
        <v>5.5603068065102042E-3</v>
      </c>
      <c r="Z2" s="3"/>
      <c r="AA2" s="3"/>
    </row>
    <row r="3" spans="1:27" x14ac:dyDescent="0.35">
      <c r="C3" t="s">
        <v>74</v>
      </c>
      <c r="D3" s="3">
        <f t="shared" ref="D3:S23" ca="1" si="1">_xlfn.COVARIANCE.P(INDIRECT($C3),INDIRECT(D$1))</f>
        <v>0.49603069418503076</v>
      </c>
      <c r="E3" s="3">
        <f t="shared" ca="1" si="0"/>
        <v>12.990459804764683</v>
      </c>
      <c r="F3" s="3">
        <f t="shared" ca="1" si="0"/>
        <v>-0.99404805072719704</v>
      </c>
      <c r="G3" s="3">
        <f t="shared" ca="1" si="0"/>
        <v>-9.8701906934610575E-2</v>
      </c>
      <c r="H3" s="3">
        <f t="shared" ca="1" si="0"/>
        <v>-0.32908998546799434</v>
      </c>
      <c r="I3" s="3">
        <f t="shared" ca="1" si="0"/>
        <v>-24.639343357142852</v>
      </c>
      <c r="J3" s="3">
        <f t="shared" ca="1" si="0"/>
        <v>9.3495937813286578E-2</v>
      </c>
      <c r="K3" s="3">
        <f t="shared" ca="1" si="0"/>
        <v>8.0881655756133181E-2</v>
      </c>
      <c r="L3" s="3">
        <f t="shared" ca="1" si="0"/>
        <v>-0.14216027014302976</v>
      </c>
      <c r="M3" s="3">
        <f t="shared" ca="1" si="0"/>
        <v>-3.8967059471053722E-2</v>
      </c>
      <c r="N3" s="3">
        <f t="shared" ca="1" si="0"/>
        <v>-0.12733031221157853</v>
      </c>
      <c r="O3" s="3">
        <f t="shared" ca="1" si="0"/>
        <v>-1.6111276134944222E-4</v>
      </c>
      <c r="P3" s="3">
        <f t="shared" ca="1" si="0"/>
        <v>1.8395244681382764E-2</v>
      </c>
      <c r="Q3" s="3">
        <f t="shared" ca="1" si="0"/>
        <v>-0.10635463463140357</v>
      </c>
      <c r="R3" s="3">
        <f t="shared" ca="1" si="0"/>
        <v>-6.7303920333194503E-2</v>
      </c>
      <c r="S3" s="3">
        <f t="shared" ca="1" si="0"/>
        <v>-5.888510113702624E-2</v>
      </c>
      <c r="T3" s="3">
        <f t="shared" ca="1" si="0"/>
        <v>-3.5850343242815497E-2</v>
      </c>
      <c r="U3" s="3">
        <f t="shared" ca="1" si="0"/>
        <v>-0.37394465823641831</v>
      </c>
      <c r="V3" s="3">
        <f t="shared" ca="1" si="0"/>
        <v>-5.8246325564348188E-2</v>
      </c>
      <c r="W3" s="3">
        <f t="shared" ca="1" si="0"/>
        <v>-4.5658954947938361E-2</v>
      </c>
      <c r="X3" s="3">
        <f t="shared" ca="1" si="0"/>
        <v>0.22520777810079134</v>
      </c>
      <c r="Y3" s="3">
        <f t="shared" ca="1" si="0"/>
        <v>3.600375618492285E-3</v>
      </c>
      <c r="Z3" s="3"/>
      <c r="AA3" s="3"/>
    </row>
    <row r="4" spans="1:27" x14ac:dyDescent="0.35">
      <c r="C4" s="25" t="s">
        <v>3</v>
      </c>
      <c r="D4" s="3">
        <f t="shared" ca="1" si="1"/>
        <v>-0.2416881779686503</v>
      </c>
      <c r="E4" s="3">
        <f t="shared" ca="1" si="0"/>
        <v>-0.99404805072719704</v>
      </c>
      <c r="F4" s="3">
        <f t="shared" ca="1" si="0"/>
        <v>9.8588942190284037</v>
      </c>
      <c r="G4" s="3">
        <f t="shared" ca="1" si="0"/>
        <v>0.16082777864389841</v>
      </c>
      <c r="H4" s="3">
        <f t="shared" ca="1" si="0"/>
        <v>0.29772438039615146</v>
      </c>
      <c r="I4" s="3">
        <f t="shared" ca="1" si="0"/>
        <v>20.588751234693877</v>
      </c>
      <c r="J4" s="3">
        <f t="shared" ca="1" si="0"/>
        <v>-8.6035774007698615E-2</v>
      </c>
      <c r="K4" s="3">
        <f t="shared" ca="1" si="0"/>
        <v>-0.13855850203539524</v>
      </c>
      <c r="L4" s="3">
        <f t="shared" ca="1" si="0"/>
        <v>-0.15275571023156675</v>
      </c>
      <c r="M4" s="3">
        <f t="shared" ca="1" si="0"/>
        <v>0.29566859601999168</v>
      </c>
      <c r="N4" s="3">
        <f t="shared" ca="1" si="0"/>
        <v>0.27044652951853393</v>
      </c>
      <c r="O4" s="3">
        <f t="shared" ca="1" si="0"/>
        <v>0.25241214983007082</v>
      </c>
      <c r="P4" s="3">
        <f t="shared" ca="1" si="0"/>
        <v>2.7525938680549769E-2</v>
      </c>
      <c r="Q4" s="3">
        <f t="shared" ca="1" si="0"/>
        <v>0.36555282945439399</v>
      </c>
      <c r="R4" s="3">
        <f t="shared" ca="1" si="0"/>
        <v>0.13116398575343607</v>
      </c>
      <c r="S4" s="3">
        <f t="shared" ca="1" si="0"/>
        <v>4.6638568011661816E-2</v>
      </c>
      <c r="T4" s="3">
        <f t="shared" ca="1" si="0"/>
        <v>0.10311539475460224</v>
      </c>
      <c r="U4" s="3">
        <f t="shared" ca="1" si="0"/>
        <v>0.38142599693841051</v>
      </c>
      <c r="V4" s="3">
        <f t="shared" ca="1" si="0"/>
        <v>3.021543354768846E-2</v>
      </c>
      <c r="W4" s="3">
        <f t="shared" ca="1" si="0"/>
        <v>8.7003649211995007E-2</v>
      </c>
      <c r="X4" s="3">
        <f t="shared" ca="1" si="0"/>
        <v>0.17854953234152443</v>
      </c>
      <c r="Y4" s="3">
        <f t="shared" ca="1" si="0"/>
        <v>-0.30423965709537693</v>
      </c>
      <c r="Z4" s="3"/>
      <c r="AA4" s="3"/>
    </row>
    <row r="5" spans="1:27" ht="15" thickBot="1" x14ac:dyDescent="0.4">
      <c r="C5" s="25" t="s">
        <v>2</v>
      </c>
      <c r="D5" s="3">
        <f t="shared" ca="1" si="1"/>
        <v>-1.6967731095378909E-2</v>
      </c>
      <c r="E5" s="3">
        <f t="shared" ca="1" si="0"/>
        <v>-9.8701906934610575E-2</v>
      </c>
      <c r="F5" s="3">
        <f t="shared" ca="1" si="0"/>
        <v>0.16082777864389841</v>
      </c>
      <c r="G5" s="3">
        <f t="shared" ca="1" si="0"/>
        <v>0.22773630623073715</v>
      </c>
      <c r="H5" s="3">
        <f t="shared" ca="1" si="0"/>
        <v>4.2731459393653734E-2</v>
      </c>
      <c r="I5" s="3">
        <f t="shared" ca="1" si="0"/>
        <v>0.50974299999999995</v>
      </c>
      <c r="J5" s="3">
        <f t="shared" ca="1" si="0"/>
        <v>4.3889317051295059E-4</v>
      </c>
      <c r="K5" s="3">
        <f t="shared" ca="1" si="0"/>
        <v>-1.6334850485047774E-2</v>
      </c>
      <c r="L5" s="3">
        <f t="shared" ca="1" si="0"/>
        <v>1.013107483443697E-2</v>
      </c>
      <c r="M5" s="3">
        <f t="shared" ca="1" si="0"/>
        <v>2.0504475181174511E-2</v>
      </c>
      <c r="N5" s="3">
        <f t="shared" ca="1" si="0"/>
        <v>9.0706018417326145E-2</v>
      </c>
      <c r="O5" s="3">
        <f t="shared" ca="1" si="0"/>
        <v>6.3125138204914638E-2</v>
      </c>
      <c r="P5" s="3">
        <f t="shared" ca="1" si="0"/>
        <v>3.01590080424823E-2</v>
      </c>
      <c r="Q5" s="3">
        <f t="shared" ca="1" si="0"/>
        <v>0.1269951497875885</v>
      </c>
      <c r="R5" s="3">
        <f t="shared" ca="1" si="0"/>
        <v>5.6995652765514382E-2</v>
      </c>
      <c r="S5" s="3">
        <f t="shared" ca="1" si="0"/>
        <v>8.7617268221574216E-4</v>
      </c>
      <c r="T5" s="3">
        <f t="shared" ca="1" si="0"/>
        <v>1.6896317237817583E-2</v>
      </c>
      <c r="U5" s="3">
        <f t="shared" ca="1" si="0"/>
        <v>4.0153746140627895E-2</v>
      </c>
      <c r="V5" s="3">
        <f t="shared" ca="1" si="0"/>
        <v>-6.5579691628488129E-3</v>
      </c>
      <c r="W5" s="3">
        <f t="shared" ca="1" si="0"/>
        <v>1.3764587005414412E-3</v>
      </c>
      <c r="X5" s="3">
        <f t="shared" ca="1" si="0"/>
        <v>6.8943625926697227E-2</v>
      </c>
      <c r="Y5" s="3">
        <f t="shared" ca="1" si="0"/>
        <v>7.9417328154935459E-3</v>
      </c>
      <c r="Z5" s="3"/>
      <c r="AA5" s="3"/>
    </row>
    <row r="6" spans="1:27" ht="15" thickBot="1" x14ac:dyDescent="0.4">
      <c r="A6" s="4" t="s">
        <v>37</v>
      </c>
      <c r="C6" s="25" t="s">
        <v>68</v>
      </c>
      <c r="D6" s="3">
        <f t="shared" ca="1" si="1"/>
        <v>-4.1305411434346233E-2</v>
      </c>
      <c r="E6" s="3">
        <f t="shared" ca="1" si="0"/>
        <v>-0.32908998546799434</v>
      </c>
      <c r="F6" s="3">
        <f t="shared" ca="1" si="0"/>
        <v>0.29772438039615146</v>
      </c>
      <c r="G6" s="3">
        <f t="shared" ca="1" si="0"/>
        <v>4.2731459393653734E-2</v>
      </c>
      <c r="H6" s="3">
        <f t="shared" ca="1" si="0"/>
        <v>0.43759878086873749</v>
      </c>
      <c r="I6" s="3">
        <f t="shared" ca="1" si="0"/>
        <v>1.446343986864767</v>
      </c>
      <c r="J6" s="3">
        <f t="shared" ca="1" si="0"/>
        <v>-1.3749148504128652E-3</v>
      </c>
      <c r="K6" s="3">
        <f t="shared" ca="1" si="0"/>
        <v>-3.3232361091333623E-2</v>
      </c>
      <c r="L6" s="3">
        <f t="shared" ca="1" si="0"/>
        <v>-1.8853039084641501E-2</v>
      </c>
      <c r="M6" s="3">
        <f t="shared" ca="1" si="0"/>
        <v>6.1293207529740708E-3</v>
      </c>
      <c r="N6" s="3">
        <f t="shared" ca="1" si="0"/>
        <v>0.11161061837251722</v>
      </c>
      <c r="O6" s="3">
        <f t="shared" ca="1" si="0"/>
        <v>3.5637965651500368E-2</v>
      </c>
      <c r="P6" s="3">
        <f t="shared" ca="1" si="0"/>
        <v>4.3322162970710253E-2</v>
      </c>
      <c r="Q6" s="3">
        <f t="shared" ca="1" si="0"/>
        <v>4.2544374614497664E-2</v>
      </c>
      <c r="R6" s="3">
        <f t="shared" ca="1" si="0"/>
        <v>-3.3505758793905115E-3</v>
      </c>
      <c r="S6" s="3">
        <f t="shared" ca="1" si="0"/>
        <v>-2.0939466541238631E-2</v>
      </c>
      <c r="T6" s="3">
        <f t="shared" ca="1" si="0"/>
        <v>2.756925196209202E-2</v>
      </c>
      <c r="U6" s="3">
        <f t="shared" ca="1" si="0"/>
        <v>0.12178793834075061</v>
      </c>
      <c r="V6" s="3">
        <f t="shared" ca="1" si="0"/>
        <v>-9.8116907125628695E-3</v>
      </c>
      <c r="W6" s="3">
        <f t="shared" ca="1" si="0"/>
        <v>8.3816955221575722E-3</v>
      </c>
      <c r="X6" s="3">
        <f t="shared" ca="1" si="0"/>
        <v>3.6382238202820473E-2</v>
      </c>
      <c r="Y6" s="3">
        <f t="shared" ca="1" si="0"/>
        <v>-1.783804244579033E-4</v>
      </c>
      <c r="Z6" s="3"/>
      <c r="AA6" s="3"/>
    </row>
    <row r="7" spans="1:27" ht="15" thickBot="1" x14ac:dyDescent="0.4">
      <c r="A7" s="41" t="s">
        <v>69</v>
      </c>
      <c r="B7" s="42"/>
      <c r="C7" s="25" t="s">
        <v>36</v>
      </c>
      <c r="D7" s="3">
        <f t="shared" ca="1" si="1"/>
        <v>-1.1693770004636759</v>
      </c>
      <c r="E7" s="3">
        <f t="shared" ca="1" si="0"/>
        <v>-24.639343357142852</v>
      </c>
      <c r="F7" s="3">
        <f t="shared" ca="1" si="0"/>
        <v>20.588751234693877</v>
      </c>
      <c r="G7" s="3">
        <f t="shared" ca="1" si="0"/>
        <v>0.50974299999999995</v>
      </c>
      <c r="H7" s="3">
        <f t="shared" ca="1" si="0"/>
        <v>1.446343986864767</v>
      </c>
      <c r="I7" s="3">
        <f t="shared" ca="1" si="0"/>
        <v>767.84520612244899</v>
      </c>
      <c r="J7" s="3">
        <f t="shared" ca="1" si="0"/>
        <v>0.62796203017333529</v>
      </c>
      <c r="K7" s="3">
        <f t="shared" ca="1" si="0"/>
        <v>-0.74221985135846946</v>
      </c>
      <c r="L7" s="3">
        <f t="shared" ca="1" si="0"/>
        <v>1.58610483621211</v>
      </c>
      <c r="M7" s="3">
        <f t="shared" ca="1" si="0"/>
        <v>1.9123556020408163</v>
      </c>
      <c r="N7" s="3">
        <f t="shared" ca="1" si="0"/>
        <v>4.1620146938775502</v>
      </c>
      <c r="O7" s="3">
        <f t="shared" ca="1" si="0"/>
        <v>2.5903397755102042</v>
      </c>
      <c r="P7" s="3">
        <f t="shared" ca="1" si="0"/>
        <v>0.48806116326530585</v>
      </c>
      <c r="Q7" s="3">
        <f t="shared" ca="1" si="0"/>
        <v>0.96454360204081646</v>
      </c>
      <c r="R7" s="3">
        <f t="shared" ca="1" si="0"/>
        <v>0.12247297959183671</v>
      </c>
      <c r="S7" s="3">
        <f t="shared" ca="1" si="0"/>
        <v>1.000797806122449</v>
      </c>
      <c r="T7" s="3">
        <f t="shared" ca="1" si="0"/>
        <v>1.0816996122448981</v>
      </c>
      <c r="U7" s="3">
        <f t="shared" ca="1" si="0"/>
        <v>-0.92855103460595445</v>
      </c>
      <c r="V7" s="3">
        <f t="shared" ca="1" si="0"/>
        <v>1.7983936224489798</v>
      </c>
      <c r="W7" s="3">
        <f t="shared" ca="1" si="0"/>
        <v>0.37156455102040814</v>
      </c>
      <c r="X7" s="3">
        <f t="shared" ca="1" si="0"/>
        <v>-0.5208360408163264</v>
      </c>
      <c r="Y7" s="3">
        <f t="shared" ca="1" si="0"/>
        <v>0.28902579591836736</v>
      </c>
      <c r="Z7" s="3"/>
      <c r="AA7" s="3"/>
    </row>
    <row r="8" spans="1:27" ht="15" thickBot="1" x14ac:dyDescent="0.4">
      <c r="A8" s="41" t="s">
        <v>102</v>
      </c>
      <c r="B8" s="42"/>
      <c r="C8" s="25" t="s">
        <v>17</v>
      </c>
      <c r="D8" s="3">
        <f t="shared" ca="1" si="1"/>
        <v>5.2328679074479054E-3</v>
      </c>
      <c r="E8" s="3">
        <f t="shared" ca="1" si="0"/>
        <v>9.3495937813286578E-2</v>
      </c>
      <c r="F8" s="3">
        <f t="shared" ca="1" si="0"/>
        <v>-8.6035774007698615E-2</v>
      </c>
      <c r="G8" s="3">
        <f t="shared" ca="1" si="0"/>
        <v>4.3889317051295059E-4</v>
      </c>
      <c r="H8" s="3">
        <f t="shared" ca="1" si="0"/>
        <v>-1.3749148504128652E-3</v>
      </c>
      <c r="I8" s="3">
        <f t="shared" ca="1" si="0"/>
        <v>0.62796203017333529</v>
      </c>
      <c r="J8" s="3">
        <f t="shared" ca="1" si="0"/>
        <v>1.3526900147279659E-2</v>
      </c>
      <c r="K8" s="3">
        <f t="shared" ca="1" si="0"/>
        <v>2.4387222802775125E-3</v>
      </c>
      <c r="L8" s="3">
        <f t="shared" ca="1" si="0"/>
        <v>3.9944305110307474E-3</v>
      </c>
      <c r="M8" s="3">
        <f t="shared" ca="1" si="0"/>
        <v>-7.0305314645842665E-3</v>
      </c>
      <c r="N8" s="3">
        <f t="shared" ca="1" si="0"/>
        <v>-1.5273792981204477E-2</v>
      </c>
      <c r="O8" s="3">
        <f t="shared" ca="1" si="0"/>
        <v>-6.1618375329088315E-3</v>
      </c>
      <c r="P8" s="3">
        <f t="shared" ca="1" si="0"/>
        <v>1.0272720364963593E-2</v>
      </c>
      <c r="Q8" s="3">
        <f t="shared" ca="1" si="0"/>
        <v>2.3471703988467399E-3</v>
      </c>
      <c r="R8" s="3">
        <f t="shared" ca="1" si="0"/>
        <v>-1.0704132038093861E-2</v>
      </c>
      <c r="S8" s="3">
        <f t="shared" ca="1" si="0"/>
        <v>-5.2893598409917081E-3</v>
      </c>
      <c r="T8" s="3">
        <f t="shared" ca="1" si="0"/>
        <v>-6.5185155581595948E-3</v>
      </c>
      <c r="U8" s="3">
        <f t="shared" ca="1" si="0"/>
        <v>-1.1536455908978512E-2</v>
      </c>
      <c r="V8" s="3">
        <f t="shared" ca="1" si="0"/>
        <v>-3.8071625979517933E-3</v>
      </c>
      <c r="W8" s="3">
        <f t="shared" ca="1" si="0"/>
        <v>-4.5132321433475828E-3</v>
      </c>
      <c r="X8" s="3">
        <f t="shared" ca="1" si="0"/>
        <v>-6.6705427041490566E-3</v>
      </c>
      <c r="Y8" s="3">
        <f t="shared" ca="1" si="0"/>
        <v>2.4480045037408994E-3</v>
      </c>
      <c r="Z8" s="3"/>
      <c r="AA8" s="3"/>
    </row>
    <row r="9" spans="1:27" ht="15" thickBot="1" x14ac:dyDescent="0.4">
      <c r="A9" s="41" t="s">
        <v>70</v>
      </c>
      <c r="B9" s="42"/>
      <c r="C9" s="25" t="s">
        <v>16</v>
      </c>
      <c r="D9" s="3">
        <f t="shared" ca="1" si="1"/>
        <v>6.559224308341916E-3</v>
      </c>
      <c r="E9" s="3">
        <f t="shared" ca="1" si="0"/>
        <v>8.0881655756133181E-2</v>
      </c>
      <c r="F9" s="3">
        <f t="shared" ca="1" si="0"/>
        <v>-0.13855850203539524</v>
      </c>
      <c r="G9" s="3">
        <f t="shared" ca="1" si="0"/>
        <v>-1.6334850485047774E-2</v>
      </c>
      <c r="H9" s="3">
        <f t="shared" ca="1" si="0"/>
        <v>-3.3232361091333623E-2</v>
      </c>
      <c r="I9" s="3">
        <f t="shared" ca="1" si="0"/>
        <v>-0.74221985135846946</v>
      </c>
      <c r="J9" s="3">
        <f t="shared" ca="1" si="0"/>
        <v>2.4387222802775125E-3</v>
      </c>
      <c r="K9" s="3">
        <f t="shared" ca="1" si="0"/>
        <v>4.3007995980752577E-2</v>
      </c>
      <c r="L9" s="3">
        <f t="shared" ca="1" si="0"/>
        <v>1.654578480926306E-2</v>
      </c>
      <c r="M9" s="3">
        <f t="shared" ca="1" si="0"/>
        <v>-2.0122204218532187E-2</v>
      </c>
      <c r="N9" s="3">
        <f t="shared" ca="1" si="0"/>
        <v>-3.8024905033907722E-2</v>
      </c>
      <c r="O9" s="3">
        <f t="shared" ca="1" si="0"/>
        <v>-1.8082716151457776E-2</v>
      </c>
      <c r="P9" s="3">
        <f t="shared" ca="1" si="0"/>
        <v>4.9563485833578154E-3</v>
      </c>
      <c r="Q9" s="3">
        <f t="shared" ca="1" si="0"/>
        <v>-1.3257607551939315E-2</v>
      </c>
      <c r="R9" s="3">
        <f t="shared" ca="1" si="0"/>
        <v>-6.8795077416383809E-3</v>
      </c>
      <c r="S9" s="3">
        <f t="shared" ca="1" si="0"/>
        <v>-4.9950511102652053E-3</v>
      </c>
      <c r="T9" s="3">
        <f t="shared" ca="1" si="0"/>
        <v>-1.9089401245582032E-3</v>
      </c>
      <c r="U9" s="3">
        <f t="shared" ca="1" si="0"/>
        <v>-3.333867171400804E-2</v>
      </c>
      <c r="V9" s="3">
        <f t="shared" ca="1" si="0"/>
        <v>-8.1105346648573523E-3</v>
      </c>
      <c r="W9" s="3">
        <f t="shared" ca="1" si="0"/>
        <v>-6.9415456058862712E-3</v>
      </c>
      <c r="X9" s="3">
        <f t="shared" ca="1" si="0"/>
        <v>-1.8901229952563315E-2</v>
      </c>
      <c r="Y9" s="3">
        <f t="shared" ca="1" si="0"/>
        <v>4.7526455306666597E-3</v>
      </c>
      <c r="Z9" s="3"/>
      <c r="AA9" s="3"/>
    </row>
    <row r="10" spans="1:27" x14ac:dyDescent="0.35">
      <c r="C10" s="25" t="s">
        <v>7</v>
      </c>
      <c r="D10" s="3">
        <f t="shared" ca="1" si="1"/>
        <v>-7.5086176553367948E-3</v>
      </c>
      <c r="E10" s="3">
        <f t="shared" ca="1" si="0"/>
        <v>-0.14216027014302976</v>
      </c>
      <c r="F10" s="3">
        <f t="shared" ca="1" si="0"/>
        <v>-0.15275571023156675</v>
      </c>
      <c r="G10" s="3">
        <f t="shared" ca="1" si="0"/>
        <v>1.013107483443697E-2</v>
      </c>
      <c r="H10" s="3">
        <f t="shared" ca="1" si="0"/>
        <v>-1.8853039084641501E-2</v>
      </c>
      <c r="I10" s="3">
        <f t="shared" ca="1" si="0"/>
        <v>1.58610483621211</v>
      </c>
      <c r="J10" s="3">
        <f t="shared" ca="1" si="0"/>
        <v>3.9944305110307474E-3</v>
      </c>
      <c r="K10" s="3">
        <f t="shared" ca="1" si="0"/>
        <v>1.654578480926306E-2</v>
      </c>
      <c r="L10" s="3">
        <f t="shared" ca="1" si="0"/>
        <v>7.6362389203039491E-2</v>
      </c>
      <c r="M10" s="3">
        <f t="shared" ca="1" si="0"/>
        <v>-1.3567379973213453E-2</v>
      </c>
      <c r="N10" s="3">
        <f t="shared" ca="1" si="0"/>
        <v>-7.2425531056965697E-2</v>
      </c>
      <c r="O10" s="3">
        <f t="shared" ca="1" si="0"/>
        <v>-7.0296752979845311E-3</v>
      </c>
      <c r="P10" s="3">
        <f t="shared" ca="1" si="0"/>
        <v>1.4577025614133928E-2</v>
      </c>
      <c r="Q10" s="3">
        <f t="shared" ca="1" si="0"/>
        <v>-8.2874672143124512E-3</v>
      </c>
      <c r="R10" s="3">
        <f t="shared" ca="1" si="0"/>
        <v>-1.3932320705847058E-2</v>
      </c>
      <c r="S10" s="3">
        <f t="shared" ca="1" si="0"/>
        <v>-1.3392772958994393E-2</v>
      </c>
      <c r="T10" s="3">
        <f t="shared" ca="1" si="0"/>
        <v>-5.9360997399644597E-3</v>
      </c>
      <c r="U10" s="3">
        <f t="shared" ca="1" si="0"/>
        <v>-3.4616624002874616E-2</v>
      </c>
      <c r="V10" s="3">
        <f t="shared" ca="1" si="0"/>
        <v>-4.8350690394943583E-3</v>
      </c>
      <c r="W10" s="3">
        <f t="shared" ca="1" si="0"/>
        <v>-3.0329871574929393E-3</v>
      </c>
      <c r="X10" s="3">
        <f t="shared" ca="1" si="0"/>
        <v>-9.6460747794445082E-3</v>
      </c>
      <c r="Y10" s="3">
        <f t="shared" ca="1" si="0"/>
        <v>1.2449277592523532E-2</v>
      </c>
      <c r="Z10" s="3"/>
      <c r="AA10" s="3"/>
    </row>
    <row r="11" spans="1:27" x14ac:dyDescent="0.35">
      <c r="C11" s="25" t="s">
        <v>35</v>
      </c>
      <c r="D11" s="3">
        <f t="shared" ca="1" si="1"/>
        <v>-5.7915883549826842E-3</v>
      </c>
      <c r="E11" s="3">
        <f t="shared" ca="1" si="0"/>
        <v>-3.8967059471053722E-2</v>
      </c>
      <c r="F11" s="3">
        <f t="shared" ca="1" si="0"/>
        <v>0.29566859601999168</v>
      </c>
      <c r="G11" s="3">
        <f t="shared" ca="1" si="0"/>
        <v>2.0504475181174511E-2</v>
      </c>
      <c r="H11" s="3">
        <f t="shared" ca="1" si="0"/>
        <v>6.1293207529740708E-3</v>
      </c>
      <c r="I11" s="3">
        <f t="shared" ca="1" si="0"/>
        <v>1.9123556020408163</v>
      </c>
      <c r="J11" s="3">
        <f t="shared" ca="1" si="0"/>
        <v>-7.0305314645842665E-3</v>
      </c>
      <c r="K11" s="3">
        <f t="shared" ca="1" si="0"/>
        <v>-2.0122204218532187E-2</v>
      </c>
      <c r="L11" s="3">
        <f t="shared" ca="1" si="0"/>
        <v>-1.3567379973213453E-2</v>
      </c>
      <c r="M11" s="3">
        <f t="shared" ca="1" si="0"/>
        <v>9.7015422907122048E-2</v>
      </c>
      <c r="N11" s="3">
        <f t="shared" ca="1" si="0"/>
        <v>6.0379300837151192E-2</v>
      </c>
      <c r="O11" s="3">
        <f t="shared" ca="1" si="0"/>
        <v>4.4827830595585184E-2</v>
      </c>
      <c r="P11" s="3">
        <f t="shared" ca="1" si="0"/>
        <v>-8.0331198292378156E-3</v>
      </c>
      <c r="Q11" s="3">
        <f t="shared" ca="1" si="0"/>
        <v>7.6281262819658441E-2</v>
      </c>
      <c r="R11" s="3">
        <f t="shared" ca="1" si="0"/>
        <v>2.764591428154935E-2</v>
      </c>
      <c r="S11" s="3">
        <f t="shared" ca="1" si="0"/>
        <v>3.8366138600583084E-2</v>
      </c>
      <c r="T11" s="3">
        <f t="shared" ca="1" si="0"/>
        <v>4.3187401978342373E-2</v>
      </c>
      <c r="U11" s="3">
        <f t="shared" ca="1" si="0"/>
        <v>3.1500610095872544E-2</v>
      </c>
      <c r="V11" s="3">
        <f t="shared" ca="1" si="0"/>
        <v>2.4498087542690544E-2</v>
      </c>
      <c r="W11" s="3">
        <f t="shared" ca="1" si="0"/>
        <v>2.0859661907538529E-2</v>
      </c>
      <c r="X11" s="3">
        <f t="shared" ca="1" si="0"/>
        <v>5.1215122486463968E-2</v>
      </c>
      <c r="Y11" s="3">
        <f t="shared" ca="1" si="0"/>
        <v>7.2305514452311514E-3</v>
      </c>
      <c r="Z11" s="3"/>
      <c r="AA11" s="3"/>
    </row>
    <row r="12" spans="1:27" x14ac:dyDescent="0.35">
      <c r="C12" s="25" t="s">
        <v>8</v>
      </c>
      <c r="D12" s="3">
        <f t="shared" ca="1" si="1"/>
        <v>-2.5231014113339587E-2</v>
      </c>
      <c r="E12" s="3">
        <f t="shared" ca="1" si="0"/>
        <v>-0.12733031221157853</v>
      </c>
      <c r="F12" s="3">
        <f t="shared" ca="1" si="0"/>
        <v>0.27044652951853393</v>
      </c>
      <c r="G12" s="3">
        <f t="shared" ca="1" si="0"/>
        <v>9.0706018417326145E-2</v>
      </c>
      <c r="H12" s="3">
        <f t="shared" ca="1" si="0"/>
        <v>0.11161061837251722</v>
      </c>
      <c r="I12" s="3">
        <f t="shared" ca="1" si="0"/>
        <v>4.1620146938775502</v>
      </c>
      <c r="J12" s="3">
        <f t="shared" ca="1" si="0"/>
        <v>-1.5273792981204477E-2</v>
      </c>
      <c r="K12" s="3">
        <f t="shared" ca="1" si="0"/>
        <v>-3.8024905033907722E-2</v>
      </c>
      <c r="L12" s="3">
        <f t="shared" ca="1" si="0"/>
        <v>-7.2425531056965697E-2</v>
      </c>
      <c r="M12" s="3">
        <f t="shared" ca="1" si="0"/>
        <v>6.0379300837151192E-2</v>
      </c>
      <c r="N12" s="3">
        <f t="shared" ca="1" si="0"/>
        <v>0.39280183835901705</v>
      </c>
      <c r="O12" s="3">
        <f t="shared" ca="1" si="0"/>
        <v>4.8198707884214917E-2</v>
      </c>
      <c r="P12" s="3">
        <f t="shared" ca="1" si="0"/>
        <v>2.2937641357767668E-3</v>
      </c>
      <c r="Q12" s="3">
        <f t="shared" ca="1" si="0"/>
        <v>9.1957535239483551E-2</v>
      </c>
      <c r="R12" s="3">
        <f t="shared" ca="1" si="0"/>
        <v>6.449269396084964E-2</v>
      </c>
      <c r="S12" s="3">
        <f t="shared" ca="1" si="0"/>
        <v>3.9029750845481048E-2</v>
      </c>
      <c r="T12" s="3">
        <f t="shared" ca="1" si="0"/>
        <v>2.808865739233652E-2</v>
      </c>
      <c r="U12" s="3">
        <f t="shared" ca="1" si="0"/>
        <v>7.45786381490844E-2</v>
      </c>
      <c r="V12" s="3">
        <f t="shared" ca="1" si="0"/>
        <v>5.3715463227821739E-2</v>
      </c>
      <c r="W12" s="3">
        <f t="shared" ca="1" si="0"/>
        <v>2.0635813481882551E-2</v>
      </c>
      <c r="X12" s="3">
        <f t="shared" ca="1" si="0"/>
        <v>2.7111831903373584E-2</v>
      </c>
      <c r="Y12" s="3">
        <f t="shared" ca="1" si="0"/>
        <v>-2.3737625780924595E-3</v>
      </c>
      <c r="Z12" s="3"/>
      <c r="AA12" s="3"/>
    </row>
    <row r="13" spans="1:27" x14ac:dyDescent="0.35">
      <c r="C13" s="25" t="s">
        <v>1</v>
      </c>
      <c r="D13" s="3">
        <f t="shared" ca="1" si="1"/>
        <v>-4.4059160875588362E-3</v>
      </c>
      <c r="E13" s="3">
        <f t="shared" ca="1" si="0"/>
        <v>-1.6111276134944222E-4</v>
      </c>
      <c r="F13" s="3">
        <f t="shared" ca="1" si="0"/>
        <v>0.25241214983007082</v>
      </c>
      <c r="G13" s="3">
        <f t="shared" ca="1" si="0"/>
        <v>6.3125138204914638E-2</v>
      </c>
      <c r="H13" s="3">
        <f t="shared" ca="1" si="0"/>
        <v>3.5637965651500368E-2</v>
      </c>
      <c r="I13" s="3">
        <f t="shared" ca="1" si="0"/>
        <v>2.5903397755102042</v>
      </c>
      <c r="J13" s="3">
        <f t="shared" ca="1" si="0"/>
        <v>-6.1618375329088315E-3</v>
      </c>
      <c r="K13" s="3">
        <f t="shared" ca="1" si="0"/>
        <v>-1.8082716151457776E-2</v>
      </c>
      <c r="L13" s="3">
        <f t="shared" ca="1" si="0"/>
        <v>-7.0296752979845311E-3</v>
      </c>
      <c r="M13" s="3">
        <f t="shared" ca="1" si="0"/>
        <v>4.4827830595585184E-2</v>
      </c>
      <c r="N13" s="3">
        <f t="shared" ca="1" si="0"/>
        <v>4.8198707884214917E-2</v>
      </c>
      <c r="O13" s="3">
        <f t="shared" ca="1" si="0"/>
        <v>7.6206029529362743E-2</v>
      </c>
      <c r="P13" s="3">
        <f t="shared" ca="1" si="0"/>
        <v>-7.0620235943356906E-3</v>
      </c>
      <c r="Q13" s="3">
        <f t="shared" ca="1" si="0"/>
        <v>7.0663147155351949E-2</v>
      </c>
      <c r="R13" s="3">
        <f t="shared" ca="1" si="0"/>
        <v>3.819911156601416E-2</v>
      </c>
      <c r="S13" s="3">
        <f t="shared" ca="1" si="0"/>
        <v>2.8367173527696795E-2</v>
      </c>
      <c r="T13" s="3">
        <f t="shared" ca="1" si="0"/>
        <v>2.8805459469804246E-2</v>
      </c>
      <c r="U13" s="3">
        <f t="shared" ca="1" si="0"/>
        <v>5.45951319650501E-2</v>
      </c>
      <c r="V13" s="3">
        <f t="shared" ca="1" si="0"/>
        <v>1.4337270683048724E-2</v>
      </c>
      <c r="W13" s="3">
        <f t="shared" ca="1" si="0"/>
        <v>2.5698565418575604E-2</v>
      </c>
      <c r="X13" s="3">
        <f t="shared" ca="1" si="0"/>
        <v>5.4021868354852155E-2</v>
      </c>
      <c r="Y13" s="3">
        <f t="shared" ca="1" si="0"/>
        <v>1.229242394002499E-2</v>
      </c>
      <c r="Z13" s="3"/>
      <c r="AA13" s="3"/>
    </row>
    <row r="14" spans="1:27" x14ac:dyDescent="0.35">
      <c r="C14" s="25" t="s">
        <v>6</v>
      </c>
      <c r="D14" s="3">
        <f t="shared" ca="1" si="1"/>
        <v>-2.0594017696441659E-3</v>
      </c>
      <c r="E14" s="3">
        <f t="shared" ca="1" si="0"/>
        <v>1.8395244681382764E-2</v>
      </c>
      <c r="F14" s="3">
        <f t="shared" ca="1" si="0"/>
        <v>2.7525938680549769E-2</v>
      </c>
      <c r="G14" s="3">
        <f t="shared" ca="1" si="0"/>
        <v>3.01590080424823E-2</v>
      </c>
      <c r="H14" s="3">
        <f t="shared" ref="H14:W23" ca="1" si="2">_xlfn.COVARIANCE.P(INDIRECT($C14),INDIRECT(H$1))</f>
        <v>4.3322162970710253E-2</v>
      </c>
      <c r="I14" s="3">
        <f t="shared" ca="1" si="2"/>
        <v>0.48806116326530585</v>
      </c>
      <c r="J14" s="3">
        <f t="shared" ca="1" si="2"/>
        <v>1.0272720364963593E-2</v>
      </c>
      <c r="K14" s="3">
        <f t="shared" ca="1" si="2"/>
        <v>4.9563485833578154E-3</v>
      </c>
      <c r="L14" s="3">
        <f t="shared" ca="1" si="2"/>
        <v>1.4577025614133928E-2</v>
      </c>
      <c r="M14" s="3">
        <f t="shared" ca="1" si="2"/>
        <v>-8.0331198292378156E-3</v>
      </c>
      <c r="N14" s="3">
        <f t="shared" ca="1" si="2"/>
        <v>2.2937641357767668E-3</v>
      </c>
      <c r="O14" s="3">
        <f t="shared" ca="1" si="2"/>
        <v>-7.0620235943356906E-3</v>
      </c>
      <c r="P14" s="3">
        <f t="shared" ca="1" si="2"/>
        <v>5.6901016892961245E-2</v>
      </c>
      <c r="Q14" s="3">
        <f t="shared" ca="1" si="2"/>
        <v>1.0652372269887557E-2</v>
      </c>
      <c r="R14" s="3">
        <f t="shared" ca="1" si="2"/>
        <v>-1.5601186459808415E-2</v>
      </c>
      <c r="S14" s="3">
        <f t="shared" ca="1" si="2"/>
        <v>-1.2198789883381923E-2</v>
      </c>
      <c r="T14" s="3">
        <f t="shared" ca="1" si="2"/>
        <v>-1.0608041060391505E-2</v>
      </c>
      <c r="U14" s="3">
        <f t="shared" ca="1" si="2"/>
        <v>-8.6888212871140177E-3</v>
      </c>
      <c r="V14" s="3">
        <f t="shared" ca="1" si="2"/>
        <v>-7.674910062473967E-3</v>
      </c>
      <c r="W14" s="3">
        <f t="shared" ca="1" si="2"/>
        <v>-8.4700777342773832E-3</v>
      </c>
      <c r="X14" s="3">
        <f t="shared" ref="X14:Y23" ca="1" si="3">_xlfn.COVARIANCE.P(INDIRECT($C14),INDIRECT(X$1))</f>
        <v>-5.5608492086630622E-3</v>
      </c>
      <c r="Y14" s="3">
        <f t="shared" ca="1" si="3"/>
        <v>-2.3020955893377766E-3</v>
      </c>
      <c r="Z14" s="3"/>
      <c r="AA14" s="3"/>
    </row>
    <row r="15" spans="1:27" x14ac:dyDescent="0.35">
      <c r="C15" s="25" t="s">
        <v>9</v>
      </c>
      <c r="D15" s="3">
        <f t="shared" ca="1" si="1"/>
        <v>-1.7688123858558752E-2</v>
      </c>
      <c r="E15" s="3">
        <f t="shared" ca="1" si="1"/>
        <v>-0.10635463463140357</v>
      </c>
      <c r="F15" s="3">
        <f t="shared" ca="1" si="1"/>
        <v>0.36555282945439399</v>
      </c>
      <c r="G15" s="3">
        <f t="shared" ca="1" si="1"/>
        <v>0.1269951497875885</v>
      </c>
      <c r="H15" s="3">
        <f t="shared" ca="1" si="1"/>
        <v>4.2544374614497664E-2</v>
      </c>
      <c r="I15" s="3">
        <f t="shared" ca="1" si="1"/>
        <v>0.96454360204081646</v>
      </c>
      <c r="J15" s="3">
        <f t="shared" ca="1" si="1"/>
        <v>2.3471703988467399E-3</v>
      </c>
      <c r="K15" s="3">
        <f t="shared" ca="1" si="1"/>
        <v>-1.3257607551939315E-2</v>
      </c>
      <c r="L15" s="3">
        <f t="shared" ca="1" si="1"/>
        <v>-8.2874672143124512E-3</v>
      </c>
      <c r="M15" s="3">
        <f t="shared" ca="1" si="1"/>
        <v>7.6281262819658441E-2</v>
      </c>
      <c r="N15" s="3">
        <f t="shared" ca="1" si="1"/>
        <v>9.1957535239483551E-2</v>
      </c>
      <c r="O15" s="3">
        <f t="shared" ca="1" si="1"/>
        <v>7.0663147155351949E-2</v>
      </c>
      <c r="P15" s="3">
        <f t="shared" ca="1" si="1"/>
        <v>1.0652372269887557E-2</v>
      </c>
      <c r="Q15" s="3">
        <f t="shared" ca="1" si="1"/>
        <v>0.27206883660974585</v>
      </c>
      <c r="R15" s="3">
        <f t="shared" ca="1" si="1"/>
        <v>3.716017576842981E-2</v>
      </c>
      <c r="S15" s="3">
        <f t="shared" ca="1" si="1"/>
        <v>3.9755683294460636E-2</v>
      </c>
      <c r="T15" s="3">
        <f t="shared" ca="1" si="2"/>
        <v>6.2292778975426913E-2</v>
      </c>
      <c r="U15" s="3">
        <f t="shared" ca="1" si="2"/>
        <v>0.10370889730873767</v>
      </c>
      <c r="V15" s="3">
        <f t="shared" ca="1" si="2"/>
        <v>8.9216635776759676E-3</v>
      </c>
      <c r="W15" s="3">
        <f t="shared" ca="1" si="2"/>
        <v>2.1806811732611411E-2</v>
      </c>
      <c r="X15" s="3">
        <f t="shared" ca="1" si="3"/>
        <v>0.10078184930862144</v>
      </c>
      <c r="Y15" s="3">
        <f t="shared" ca="1" si="3"/>
        <v>1.4643117742607249E-2</v>
      </c>
      <c r="Z15" s="3"/>
      <c r="AA15" s="3"/>
    </row>
    <row r="16" spans="1:27" x14ac:dyDescent="0.35">
      <c r="C16" s="25" t="s">
        <v>11</v>
      </c>
      <c r="D16" s="3">
        <f t="shared" ca="1" si="1"/>
        <v>-6.9432770170280789E-3</v>
      </c>
      <c r="E16" s="3">
        <f t="shared" ca="1" si="1"/>
        <v>-6.7303920333194503E-2</v>
      </c>
      <c r="F16" s="3">
        <f t="shared" ca="1" si="1"/>
        <v>0.13116398575343607</v>
      </c>
      <c r="G16" s="3">
        <f t="shared" ca="1" si="1"/>
        <v>5.6995652765514382E-2</v>
      </c>
      <c r="H16" s="3">
        <f t="shared" ca="1" si="1"/>
        <v>-3.3505758793905115E-3</v>
      </c>
      <c r="I16" s="3">
        <f t="shared" ca="1" si="1"/>
        <v>0.12247297959183671</v>
      </c>
      <c r="J16" s="3">
        <f t="shared" ca="1" si="1"/>
        <v>-1.0704132038093861E-2</v>
      </c>
      <c r="K16" s="3">
        <f t="shared" ca="1" si="1"/>
        <v>-6.8795077416383809E-3</v>
      </c>
      <c r="L16" s="3">
        <f t="shared" ca="1" si="1"/>
        <v>-1.3932320705847058E-2</v>
      </c>
      <c r="M16" s="3">
        <f t="shared" ca="1" si="1"/>
        <v>2.764591428154935E-2</v>
      </c>
      <c r="N16" s="3">
        <f t="shared" ca="1" si="1"/>
        <v>6.449269396084964E-2</v>
      </c>
      <c r="O16" s="3">
        <f t="shared" ca="1" si="1"/>
        <v>3.819911156601416E-2</v>
      </c>
      <c r="P16" s="3">
        <f t="shared" ca="1" si="1"/>
        <v>-1.5601186459808415E-2</v>
      </c>
      <c r="Q16" s="3">
        <f t="shared" ca="1" si="1"/>
        <v>3.716017576842981E-2</v>
      </c>
      <c r="R16" s="3">
        <f t="shared" ca="1" si="1"/>
        <v>9.1608637534360687E-2</v>
      </c>
      <c r="S16" s="3">
        <f t="shared" ca="1" si="1"/>
        <v>2.2823048483965019E-2</v>
      </c>
      <c r="T16" s="3">
        <f t="shared" ca="1" si="2"/>
        <v>2.6735868260308208E-2</v>
      </c>
      <c r="U16" s="3">
        <f t="shared" ca="1" si="2"/>
        <v>3.2581465811526239E-2</v>
      </c>
      <c r="V16" s="3">
        <f t="shared" ca="1" si="2"/>
        <v>1.7191007109537689E-2</v>
      </c>
      <c r="W16" s="3">
        <f t="shared" ca="1" si="2"/>
        <v>1.1503306609745939E-2</v>
      </c>
      <c r="X16" s="3">
        <f t="shared" ca="1" si="3"/>
        <v>1.8679018517284474E-2</v>
      </c>
      <c r="Y16" s="3">
        <f t="shared" ca="1" si="3"/>
        <v>1.1210827005414408E-2</v>
      </c>
      <c r="Z16" s="3"/>
      <c r="AA16" s="3"/>
    </row>
    <row r="17" spans="2:27" x14ac:dyDescent="0.35">
      <c r="C17" s="25" t="s">
        <v>33</v>
      </c>
      <c r="D17" s="3">
        <f t="shared" ca="1" si="1"/>
        <v>3.2273350465584329E-3</v>
      </c>
      <c r="E17" s="3">
        <f t="shared" ca="1" si="1"/>
        <v>-5.888510113702624E-2</v>
      </c>
      <c r="F17" s="3">
        <f t="shared" ca="1" si="1"/>
        <v>4.6638568011661816E-2</v>
      </c>
      <c r="G17" s="3">
        <f t="shared" ca="1" si="1"/>
        <v>8.7617268221574216E-4</v>
      </c>
      <c r="H17" s="3">
        <f t="shared" ca="1" si="1"/>
        <v>-2.0939466541238631E-2</v>
      </c>
      <c r="I17" s="3">
        <f t="shared" ca="1" si="1"/>
        <v>1.000797806122449</v>
      </c>
      <c r="J17" s="3">
        <f t="shared" ca="1" si="1"/>
        <v>-5.2893598409917081E-3</v>
      </c>
      <c r="K17" s="3">
        <f t="shared" ca="1" si="1"/>
        <v>-4.9950511102652053E-3</v>
      </c>
      <c r="L17" s="3">
        <f t="shared" ca="1" si="1"/>
        <v>-1.3392772958994393E-2</v>
      </c>
      <c r="M17" s="3">
        <f t="shared" ca="1" si="1"/>
        <v>3.8366138600583084E-2</v>
      </c>
      <c r="N17" s="3">
        <f t="shared" ca="1" si="1"/>
        <v>3.9029750845481048E-2</v>
      </c>
      <c r="O17" s="3">
        <f t="shared" ca="1" si="1"/>
        <v>2.8367173527696795E-2</v>
      </c>
      <c r="P17" s="3">
        <f t="shared" ca="1" si="1"/>
        <v>-1.2198789883381923E-2</v>
      </c>
      <c r="Q17" s="3">
        <f t="shared" ca="1" si="1"/>
        <v>3.9755683294460636E-2</v>
      </c>
      <c r="R17" s="3">
        <f t="shared" ca="1" si="1"/>
        <v>2.2823048483965019E-2</v>
      </c>
      <c r="S17" s="3">
        <f t="shared" ca="1" si="1"/>
        <v>4.6414972244897969E-2</v>
      </c>
      <c r="T17" s="3">
        <f t="shared" ca="1" si="2"/>
        <v>2.6363379320699716E-2</v>
      </c>
      <c r="U17" s="3">
        <f t="shared" ca="1" si="2"/>
        <v>3.9320020358521605E-2</v>
      </c>
      <c r="V17" s="3">
        <f t="shared" ca="1" si="2"/>
        <v>2.2346951661807585E-2</v>
      </c>
      <c r="W17" s="3">
        <f t="shared" ca="1" si="2"/>
        <v>2.0816822711370263E-2</v>
      </c>
      <c r="X17" s="3">
        <f t="shared" ca="1" si="3"/>
        <v>3.2897525685131192E-2</v>
      </c>
      <c r="Y17" s="3">
        <f t="shared" ca="1" si="3"/>
        <v>1.1356351166180754E-2</v>
      </c>
      <c r="Z17" s="3"/>
      <c r="AA17" s="3"/>
    </row>
    <row r="18" spans="2:27" x14ac:dyDescent="0.35">
      <c r="C18" s="25" t="s">
        <v>32</v>
      </c>
      <c r="D18" s="3">
        <f t="shared" ca="1" si="1"/>
        <v>1.3044336674983411E-3</v>
      </c>
      <c r="E18" s="3">
        <f t="shared" ca="1" si="1"/>
        <v>-3.5850343242815497E-2</v>
      </c>
      <c r="F18" s="3">
        <f t="shared" ca="1" si="1"/>
        <v>0.10311539475460224</v>
      </c>
      <c r="G18" s="3">
        <f t="shared" ca="1" si="1"/>
        <v>1.6896317237817583E-2</v>
      </c>
      <c r="H18" s="3">
        <f t="shared" ca="1" si="1"/>
        <v>2.756925196209202E-2</v>
      </c>
      <c r="I18" s="3">
        <f t="shared" ca="1" si="1"/>
        <v>1.0816996122448981</v>
      </c>
      <c r="J18" s="3">
        <f t="shared" ca="1" si="1"/>
        <v>-6.5185155581595948E-3</v>
      </c>
      <c r="K18" s="3">
        <f t="shared" ca="1" si="1"/>
        <v>-1.9089401245582032E-3</v>
      </c>
      <c r="L18" s="3">
        <f t="shared" ca="1" si="1"/>
        <v>-5.9360997399644597E-3</v>
      </c>
      <c r="M18" s="3">
        <f t="shared" ca="1" si="1"/>
        <v>4.3187401978342373E-2</v>
      </c>
      <c r="N18" s="3">
        <f t="shared" ca="1" si="1"/>
        <v>2.808865739233652E-2</v>
      </c>
      <c r="O18" s="3">
        <f t="shared" ca="1" si="1"/>
        <v>2.8805459469804246E-2</v>
      </c>
      <c r="P18" s="3">
        <f t="shared" ca="1" si="1"/>
        <v>-1.0608041060391505E-2</v>
      </c>
      <c r="Q18" s="3">
        <f t="shared" ca="1" si="1"/>
        <v>6.2292778975426913E-2</v>
      </c>
      <c r="R18" s="3">
        <f t="shared" ca="1" si="1"/>
        <v>2.6735868260308208E-2</v>
      </c>
      <c r="S18" s="3">
        <f t="shared" ca="1" si="1"/>
        <v>2.6363379320699716E-2</v>
      </c>
      <c r="T18" s="3">
        <f t="shared" ca="1" si="2"/>
        <v>5.8556378806663874E-2</v>
      </c>
      <c r="U18" s="3">
        <f t="shared" ca="1" si="2"/>
        <v>2.1964740342365542E-2</v>
      </c>
      <c r="V18" s="3">
        <f t="shared" ca="1" si="2"/>
        <v>1.8584537438983757E-2</v>
      </c>
      <c r="W18" s="3">
        <f t="shared" ca="1" si="2"/>
        <v>1.3762213635985007E-2</v>
      </c>
      <c r="X18" s="3">
        <f t="shared" ca="1" si="3"/>
        <v>5.0132368759266972E-2</v>
      </c>
      <c r="Y18" s="3">
        <f t="shared" ca="1" si="3"/>
        <v>1.3315019591420242E-2</v>
      </c>
      <c r="Z18" s="3"/>
      <c r="AA18" s="3"/>
    </row>
    <row r="19" spans="2:27" x14ac:dyDescent="0.35">
      <c r="C19" s="25" t="s">
        <v>67</v>
      </c>
      <c r="D19" s="3">
        <f t="shared" ca="1" si="1"/>
        <v>-3.4965394164098329E-2</v>
      </c>
      <c r="E19" s="3">
        <f t="shared" ca="1" si="1"/>
        <v>-0.37394465823641831</v>
      </c>
      <c r="F19" s="3">
        <f t="shared" ca="1" si="1"/>
        <v>0.38142599693841051</v>
      </c>
      <c r="G19" s="3">
        <f t="shared" ca="1" si="1"/>
        <v>4.0153746140627895E-2</v>
      </c>
      <c r="H19" s="3">
        <f t="shared" ca="1" si="1"/>
        <v>0.12178793834075061</v>
      </c>
      <c r="I19" s="3">
        <f t="shared" ca="1" si="1"/>
        <v>-0.92855103460595445</v>
      </c>
      <c r="J19" s="3">
        <f t="shared" ca="1" si="1"/>
        <v>-1.1536455908978512E-2</v>
      </c>
      <c r="K19" s="3">
        <f t="shared" ca="1" si="1"/>
        <v>-3.333867171400804E-2</v>
      </c>
      <c r="L19" s="3">
        <f t="shared" ca="1" si="1"/>
        <v>-3.4616624002874616E-2</v>
      </c>
      <c r="M19" s="3">
        <f t="shared" ca="1" si="1"/>
        <v>3.1500610095872544E-2</v>
      </c>
      <c r="N19" s="3">
        <f t="shared" ca="1" si="1"/>
        <v>7.45786381490844E-2</v>
      </c>
      <c r="O19" s="3">
        <f t="shared" ca="1" si="1"/>
        <v>5.45951319650501E-2</v>
      </c>
      <c r="P19" s="3">
        <f t="shared" ca="1" si="1"/>
        <v>-8.6888212871140177E-3</v>
      </c>
      <c r="Q19" s="3">
        <f t="shared" ca="1" si="1"/>
        <v>0.10370889730873767</v>
      </c>
      <c r="R19" s="3">
        <f t="shared" ca="1" si="1"/>
        <v>3.2581465811526239E-2</v>
      </c>
      <c r="S19" s="3">
        <f t="shared" ca="1" si="1"/>
        <v>3.9320020358521605E-2</v>
      </c>
      <c r="T19" s="3">
        <f t="shared" ca="1" si="2"/>
        <v>2.1964740342365542E-2</v>
      </c>
      <c r="U19" s="3">
        <f t="shared" ca="1" si="2"/>
        <v>0.18660267511598741</v>
      </c>
      <c r="V19" s="3">
        <f t="shared" ca="1" si="2"/>
        <v>-3.7160628553910349E-3</v>
      </c>
      <c r="W19" s="3">
        <f t="shared" ca="1" si="2"/>
        <v>3.8436904630290467E-2</v>
      </c>
      <c r="X19" s="3">
        <f t="shared" ca="1" si="3"/>
        <v>7.0210086929908058E-2</v>
      </c>
      <c r="Y19" s="3">
        <f t="shared" ca="1" si="3"/>
        <v>4.5202689837932776E-4</v>
      </c>
      <c r="Z19" s="3"/>
      <c r="AA19" s="3"/>
    </row>
    <row r="20" spans="2:27" x14ac:dyDescent="0.35">
      <c r="C20" s="25" t="s">
        <v>15</v>
      </c>
      <c r="D20" s="3">
        <f t="shared" ca="1" si="1"/>
        <v>3.3002855552321169E-4</v>
      </c>
      <c r="E20" s="3">
        <f t="shared" ca="1" si="1"/>
        <v>-5.8246325564348188E-2</v>
      </c>
      <c r="F20" s="3">
        <f t="shared" ca="1" si="1"/>
        <v>3.021543354768846E-2</v>
      </c>
      <c r="G20" s="3">
        <f t="shared" ca="1" si="1"/>
        <v>-6.5579691628488129E-3</v>
      </c>
      <c r="H20" s="3">
        <f t="shared" ca="1" si="1"/>
        <v>-9.8116907125628695E-3</v>
      </c>
      <c r="I20" s="3">
        <f t="shared" ca="1" si="1"/>
        <v>1.7983936224489798</v>
      </c>
      <c r="J20" s="3">
        <f t="shared" ca="1" si="1"/>
        <v>-3.8071625979517933E-3</v>
      </c>
      <c r="K20" s="3">
        <f t="shared" ca="1" si="1"/>
        <v>-8.1105346648573523E-3</v>
      </c>
      <c r="L20" s="3">
        <f t="shared" ca="1" si="1"/>
        <v>-4.8350690394943583E-3</v>
      </c>
      <c r="M20" s="3">
        <f t="shared" ca="1" si="1"/>
        <v>2.4498087542690544E-2</v>
      </c>
      <c r="N20" s="3">
        <f t="shared" ca="1" si="1"/>
        <v>5.3715463227821739E-2</v>
      </c>
      <c r="O20" s="3">
        <f t="shared" ca="1" si="1"/>
        <v>1.4337270683048724E-2</v>
      </c>
      <c r="P20" s="3">
        <f t="shared" ca="1" si="1"/>
        <v>-7.674910062473967E-3</v>
      </c>
      <c r="Q20" s="3">
        <f t="shared" ca="1" si="1"/>
        <v>8.9216635776759676E-3</v>
      </c>
      <c r="R20" s="3">
        <f t="shared" ca="1" si="1"/>
        <v>1.7191007109537689E-2</v>
      </c>
      <c r="S20" s="3">
        <f t="shared" ca="1" si="1"/>
        <v>2.2346951661807585E-2</v>
      </c>
      <c r="T20" s="3">
        <f t="shared" ca="1" si="2"/>
        <v>1.8584537438983757E-2</v>
      </c>
      <c r="U20" s="3">
        <f t="shared" ca="1" si="2"/>
        <v>-3.7160628553910349E-3</v>
      </c>
      <c r="V20" s="3">
        <f t="shared" ca="1" si="2"/>
        <v>4.0110253402748861E-2</v>
      </c>
      <c r="W20" s="3">
        <f t="shared" ca="1" si="2"/>
        <v>9.6762699541857594E-3</v>
      </c>
      <c r="X20" s="3">
        <f t="shared" ca="1" si="3"/>
        <v>9.5599811162015783E-3</v>
      </c>
      <c r="Y20" s="3">
        <f t="shared" ca="1" si="3"/>
        <v>1.3682654214910456E-2</v>
      </c>
      <c r="Z20" s="3"/>
      <c r="AA20" s="3"/>
    </row>
    <row r="21" spans="2:27" x14ac:dyDescent="0.35">
      <c r="C21" s="25" t="s">
        <v>34</v>
      </c>
      <c r="D21" s="3">
        <f t="shared" ca="1" si="1"/>
        <v>-1.9952408210915959E-3</v>
      </c>
      <c r="E21" s="3">
        <f t="shared" ca="1" si="1"/>
        <v>-4.5658954947938361E-2</v>
      </c>
      <c r="F21" s="3">
        <f t="shared" ca="1" si="1"/>
        <v>8.7003649211995007E-2</v>
      </c>
      <c r="G21" s="3">
        <f t="shared" ca="1" si="1"/>
        <v>1.3764587005414412E-3</v>
      </c>
      <c r="H21" s="3">
        <f t="shared" ca="1" si="1"/>
        <v>8.3816955221575722E-3</v>
      </c>
      <c r="I21" s="3">
        <f t="shared" ca="1" si="1"/>
        <v>0.37156455102040814</v>
      </c>
      <c r="J21" s="3">
        <f t="shared" ca="1" si="1"/>
        <v>-4.5132321433475828E-3</v>
      </c>
      <c r="K21" s="3">
        <f t="shared" ca="1" si="1"/>
        <v>-6.9415456058862712E-3</v>
      </c>
      <c r="L21" s="3">
        <f t="shared" ca="1" si="1"/>
        <v>-3.0329871574929393E-3</v>
      </c>
      <c r="M21" s="3">
        <f t="shared" ca="1" si="1"/>
        <v>2.0859661907538529E-2</v>
      </c>
      <c r="N21" s="3">
        <f t="shared" ca="1" si="1"/>
        <v>2.0635813481882551E-2</v>
      </c>
      <c r="O21" s="3">
        <f t="shared" ca="1" si="1"/>
        <v>2.5698565418575604E-2</v>
      </c>
      <c r="P21" s="3">
        <f t="shared" ca="1" si="1"/>
        <v>-8.4700777342773832E-3</v>
      </c>
      <c r="Q21" s="3">
        <f t="shared" ca="1" si="1"/>
        <v>2.1806811732611411E-2</v>
      </c>
      <c r="R21" s="3">
        <f t="shared" ca="1" si="1"/>
        <v>1.1503306609745939E-2</v>
      </c>
      <c r="S21" s="3">
        <f t="shared" ca="1" si="1"/>
        <v>2.0816822711370263E-2</v>
      </c>
      <c r="T21" s="3">
        <f t="shared" ca="1" si="2"/>
        <v>1.3762213635985007E-2</v>
      </c>
      <c r="U21" s="3">
        <f t="shared" ca="1" si="2"/>
        <v>3.8436904630290467E-2</v>
      </c>
      <c r="V21" s="3">
        <f t="shared" ca="1" si="2"/>
        <v>9.6762699541857594E-3</v>
      </c>
      <c r="W21" s="3">
        <f t="shared" ca="1" si="2"/>
        <v>2.67926874302374E-2</v>
      </c>
      <c r="X21" s="3">
        <f t="shared" ca="1" si="3"/>
        <v>2.0318383981674303E-2</v>
      </c>
      <c r="Y21" s="3">
        <f t="shared" ca="1" si="3"/>
        <v>2.6139533569346104E-3</v>
      </c>
      <c r="Z21" s="3"/>
      <c r="AA21" s="3"/>
    </row>
    <row r="22" spans="2:27" x14ac:dyDescent="0.35">
      <c r="C22" s="25" t="s">
        <v>5</v>
      </c>
      <c r="D22" s="3">
        <f t="shared" ca="1" si="1"/>
        <v>1.4002275658080654E-2</v>
      </c>
      <c r="E22" s="3">
        <f t="shared" ca="1" si="1"/>
        <v>0.22520777810079134</v>
      </c>
      <c r="F22" s="3">
        <f t="shared" ca="1" si="1"/>
        <v>0.17854953234152443</v>
      </c>
      <c r="G22" s="3">
        <f t="shared" ca="1" si="1"/>
        <v>6.8943625926697227E-2</v>
      </c>
      <c r="H22" s="3">
        <f t="shared" ca="1" si="1"/>
        <v>3.6382238202820473E-2</v>
      </c>
      <c r="I22" s="3">
        <f t="shared" ca="1" si="1"/>
        <v>-0.5208360408163264</v>
      </c>
      <c r="J22" s="3">
        <f t="shared" ca="1" si="1"/>
        <v>-6.6705427041490566E-3</v>
      </c>
      <c r="K22" s="3">
        <f t="shared" ca="1" si="1"/>
        <v>-1.8901229952563315E-2</v>
      </c>
      <c r="L22" s="3">
        <f t="shared" ca="1" si="1"/>
        <v>-9.6460747794445082E-3</v>
      </c>
      <c r="M22" s="3">
        <f t="shared" ca="1" si="1"/>
        <v>5.1215122486463968E-2</v>
      </c>
      <c r="N22" s="3">
        <f t="shared" ca="1" si="1"/>
        <v>2.7111831903373584E-2</v>
      </c>
      <c r="O22" s="3">
        <f t="shared" ca="1" si="1"/>
        <v>5.4021868354852155E-2</v>
      </c>
      <c r="P22" s="3">
        <f t="shared" ca="1" si="1"/>
        <v>-5.5608492086630622E-3</v>
      </c>
      <c r="Q22" s="3">
        <f t="shared" ca="1" si="1"/>
        <v>0.10078184930862144</v>
      </c>
      <c r="R22" s="3">
        <f t="shared" ca="1" si="1"/>
        <v>1.8679018517284474E-2</v>
      </c>
      <c r="S22" s="3">
        <f t="shared" ca="1" si="1"/>
        <v>3.2897525685131192E-2</v>
      </c>
      <c r="T22" s="3">
        <f t="shared" ca="1" si="2"/>
        <v>5.0132368759266972E-2</v>
      </c>
      <c r="U22" s="3">
        <f t="shared" ca="1" si="2"/>
        <v>7.0210086929908058E-2</v>
      </c>
      <c r="V22" s="3">
        <f t="shared" ca="1" si="2"/>
        <v>9.5599811162015783E-3</v>
      </c>
      <c r="W22" s="3">
        <f t="shared" ca="1" si="2"/>
        <v>2.0318383981674303E-2</v>
      </c>
      <c r="X22" s="3">
        <f t="shared" ca="1" si="3"/>
        <v>0.16627787456892962</v>
      </c>
      <c r="Y22" s="3">
        <f t="shared" ca="1" si="3"/>
        <v>1.2755449196168261E-2</v>
      </c>
      <c r="Z22" s="3"/>
      <c r="AA22" s="38">
        <f>SUM($H$25,$U$25)</f>
        <v>0.70720195600151348</v>
      </c>
    </row>
    <row r="23" spans="2:27" x14ac:dyDescent="0.35">
      <c r="C23" s="25" t="s">
        <v>4</v>
      </c>
      <c r="D23" s="3">
        <f t="shared" ca="1" si="1"/>
        <v>5.5603068065102042E-3</v>
      </c>
      <c r="E23" s="3">
        <f t="shared" ca="1" si="1"/>
        <v>3.600375618492285E-3</v>
      </c>
      <c r="F23" s="3">
        <f t="shared" ca="1" si="1"/>
        <v>-0.30423965709537693</v>
      </c>
      <c r="G23" s="3">
        <f t="shared" ca="1" si="1"/>
        <v>7.9417328154935459E-3</v>
      </c>
      <c r="H23" s="3">
        <f t="shared" ca="1" si="1"/>
        <v>-1.783804244579033E-4</v>
      </c>
      <c r="I23" s="3">
        <f t="shared" ca="1" si="1"/>
        <v>0.28902579591836736</v>
      </c>
      <c r="J23" s="3">
        <f t="shared" ca="1" si="1"/>
        <v>2.4480045037408994E-3</v>
      </c>
      <c r="K23" s="3">
        <f t="shared" ca="1" si="1"/>
        <v>4.7526455306666597E-3</v>
      </c>
      <c r="L23" s="3">
        <f t="shared" ca="1" si="1"/>
        <v>1.2449277592523532E-2</v>
      </c>
      <c r="M23" s="3">
        <f t="shared" ca="1" si="1"/>
        <v>7.2305514452311514E-3</v>
      </c>
      <c r="N23" s="3">
        <f t="shared" ca="1" si="1"/>
        <v>-2.3737625780924595E-3</v>
      </c>
      <c r="O23" s="3">
        <f t="shared" ca="1" si="1"/>
        <v>1.229242394002499E-2</v>
      </c>
      <c r="P23" s="3">
        <f t="shared" ca="1" si="1"/>
        <v>-2.3020955893377766E-3</v>
      </c>
      <c r="Q23" s="3">
        <f t="shared" ca="1" si="1"/>
        <v>1.4643117742607249E-2</v>
      </c>
      <c r="R23" s="3">
        <f t="shared" ca="1" si="1"/>
        <v>1.1210827005414408E-2</v>
      </c>
      <c r="S23" s="3">
        <f t="shared" ca="1" si="1"/>
        <v>1.1356351166180754E-2</v>
      </c>
      <c r="T23" s="3">
        <f t="shared" ca="1" si="2"/>
        <v>1.3315019591420242E-2</v>
      </c>
      <c r="U23" s="3">
        <f t="shared" ca="1" si="2"/>
        <v>4.5202689837932776E-4</v>
      </c>
      <c r="V23" s="3">
        <f t="shared" ca="1" si="2"/>
        <v>1.3682654214910456E-2</v>
      </c>
      <c r="W23" s="3">
        <f t="shared" ca="1" si="2"/>
        <v>2.6139533569346104E-3</v>
      </c>
      <c r="X23" s="3">
        <f t="shared" ca="1" si="3"/>
        <v>1.2755449196168261E-2</v>
      </c>
      <c r="Y23" s="3">
        <f t="shared" ca="1" si="3"/>
        <v>4.2665207080383169E-2</v>
      </c>
      <c r="Z23" s="3"/>
      <c r="AA23" s="3"/>
    </row>
    <row r="24" spans="2:27" ht="15" thickBot="1" x14ac:dyDescent="0.4">
      <c r="C24" s="25"/>
    </row>
    <row r="25" spans="2:27" ht="15.5" thickTop="1" thickBot="1" x14ac:dyDescent="0.4">
      <c r="C25" s="25"/>
      <c r="D25" s="5">
        <v>0</v>
      </c>
      <c r="E25" s="5">
        <v>0</v>
      </c>
      <c r="F25" s="5">
        <v>0</v>
      </c>
      <c r="G25" s="5">
        <v>0</v>
      </c>
      <c r="H25" s="5">
        <v>0.70720195600151348</v>
      </c>
      <c r="I25" s="5">
        <v>0.29279794616986632</v>
      </c>
      <c r="J25" s="5">
        <v>0</v>
      </c>
      <c r="K25" s="5">
        <v>0</v>
      </c>
      <c r="L25" s="5">
        <v>0</v>
      </c>
      <c r="M25" s="5">
        <v>0</v>
      </c>
      <c r="N25" s="5">
        <v>0</v>
      </c>
      <c r="O25" s="5">
        <v>0</v>
      </c>
      <c r="P25" s="5">
        <v>0</v>
      </c>
      <c r="Q25" s="5">
        <v>0</v>
      </c>
      <c r="R25" s="5">
        <v>0</v>
      </c>
      <c r="S25" s="5">
        <v>0</v>
      </c>
      <c r="T25" s="5">
        <v>0</v>
      </c>
      <c r="U25" s="5">
        <v>0</v>
      </c>
      <c r="V25" s="5">
        <v>7.9594536020807116E-8</v>
      </c>
      <c r="W25" s="5">
        <v>0</v>
      </c>
      <c r="X25" s="5">
        <v>0</v>
      </c>
      <c r="Y25" s="5">
        <v>0</v>
      </c>
      <c r="Z25" s="8" t="s">
        <v>100</v>
      </c>
      <c r="AA25" s="34">
        <v>0.2</v>
      </c>
    </row>
    <row r="26" spans="2:27" ht="15" thickTop="1" x14ac:dyDescent="0.35">
      <c r="B26" t="s">
        <v>65</v>
      </c>
      <c r="D26" t="s">
        <v>72</v>
      </c>
      <c r="E26" t="s">
        <v>74</v>
      </c>
      <c r="F26" s="25" t="s">
        <v>3</v>
      </c>
      <c r="G26" s="25" t="s">
        <v>2</v>
      </c>
      <c r="H26" s="36" t="s">
        <v>68</v>
      </c>
      <c r="I26" s="25" t="s">
        <v>36</v>
      </c>
      <c r="J26" s="25" t="s">
        <v>17</v>
      </c>
      <c r="K26" s="25" t="s">
        <v>16</v>
      </c>
      <c r="L26" s="25" t="s">
        <v>7</v>
      </c>
      <c r="M26" s="25" t="s">
        <v>35</v>
      </c>
      <c r="N26" s="25" t="s">
        <v>8</v>
      </c>
      <c r="O26" s="25" t="s">
        <v>1</v>
      </c>
      <c r="P26" s="25" t="s">
        <v>6</v>
      </c>
      <c r="Q26" s="25" t="s">
        <v>9</v>
      </c>
      <c r="R26" s="25" t="s">
        <v>11</v>
      </c>
      <c r="S26" s="25" t="s">
        <v>33</v>
      </c>
      <c r="T26" s="25" t="s">
        <v>32</v>
      </c>
      <c r="U26" s="36" t="s">
        <v>67</v>
      </c>
      <c r="V26" s="25" t="s">
        <v>15</v>
      </c>
      <c r="W26" s="25" t="s">
        <v>34</v>
      </c>
      <c r="X26" s="25" t="s">
        <v>5</v>
      </c>
      <c r="Y26" s="25" t="s">
        <v>4</v>
      </c>
    </row>
    <row r="27" spans="2:27" x14ac:dyDescent="0.35">
      <c r="C27" s="6" t="s">
        <v>66</v>
      </c>
      <c r="D27" s="33">
        <f ca="1">MEDIAN(INDIRECT(D26))</f>
        <v>8.2000000000000003E-2</v>
      </c>
      <c r="E27" s="33">
        <f t="shared" ref="E27:Y27" ca="1" si="4">MEDIAN(INDIRECT(E26))</f>
        <v>4.6800000000000001E-2</v>
      </c>
      <c r="F27" s="33">
        <f t="shared" ca="1" si="4"/>
        <v>0.1704</v>
      </c>
      <c r="G27" s="33">
        <f t="shared" ca="1" si="4"/>
        <v>0.1898</v>
      </c>
      <c r="H27" s="33">
        <f t="shared" ca="1" si="4"/>
        <v>0.21990000000000001</v>
      </c>
      <c r="I27" s="33">
        <f t="shared" ca="1" si="4"/>
        <v>0.83499999999999996</v>
      </c>
      <c r="J27" s="33">
        <f t="shared" ca="1" si="4"/>
        <v>1.8310691080921367E-2</v>
      </c>
      <c r="K27" s="33">
        <f t="shared" ca="1" si="4"/>
        <v>2.0066889632106892E-2</v>
      </c>
      <c r="L27" s="33">
        <f t="shared" ca="1" si="4"/>
        <v>0.10841546626231992</v>
      </c>
      <c r="M27" s="33">
        <f t="shared" ca="1" si="4"/>
        <v>0.11840000000000001</v>
      </c>
      <c r="N27" s="33">
        <f t="shared" ca="1" si="4"/>
        <v>8.9999999999999993E-3</v>
      </c>
      <c r="O27" s="33">
        <f t="shared" ca="1" si="4"/>
        <v>7.4300000000000005E-2</v>
      </c>
      <c r="P27" s="33">
        <f t="shared" ca="1" si="4"/>
        <v>3.9699999999999999E-2</v>
      </c>
      <c r="Q27" s="33">
        <f t="shared" ca="1" si="4"/>
        <v>0.1159</v>
      </c>
      <c r="R27" s="33">
        <f t="shared" ca="1" si="4"/>
        <v>7.0099999999999996E-2</v>
      </c>
      <c r="S27" s="33">
        <f t="shared" ca="1" si="4"/>
        <v>6.7500000000000004E-2</v>
      </c>
      <c r="T27" s="33">
        <f t="shared" ca="1" si="4"/>
        <v>0.1</v>
      </c>
      <c r="U27" s="33">
        <f t="shared" ca="1" si="4"/>
        <v>0.19439999999999999</v>
      </c>
      <c r="V27" s="33">
        <f t="shared" ca="1" si="4"/>
        <v>6.0600000000000001E-2</v>
      </c>
      <c r="W27" s="33">
        <f t="shared" ca="1" si="4"/>
        <v>8.77E-2</v>
      </c>
      <c r="X27" s="33">
        <f t="shared" ca="1" si="4"/>
        <v>0.12759999999999999</v>
      </c>
      <c r="Y27" s="33">
        <f t="shared" ca="1" si="4"/>
        <v>0.1017</v>
      </c>
    </row>
    <row r="28" spans="2:27" x14ac:dyDescent="0.35">
      <c r="C28" s="6" t="s">
        <v>19</v>
      </c>
      <c r="D28" s="33">
        <f ca="1">_xlfn.STDEV.P(INDIRECT(D26))</f>
        <v>0.19098183493799492</v>
      </c>
      <c r="E28" s="33">
        <f t="shared" ref="E28:Y28" ca="1" si="5">_xlfn.STDEV.P(INDIRECT(E26))</f>
        <v>3.6042280456104163</v>
      </c>
      <c r="F28" s="33">
        <f t="shared" ca="1" si="5"/>
        <v>3.1398876124836703</v>
      </c>
      <c r="G28" s="33">
        <f t="shared" ca="1" si="5"/>
        <v>0.47721725265411064</v>
      </c>
      <c r="H28" s="33">
        <f t="shared" ca="1" si="5"/>
        <v>0.66151249486970198</v>
      </c>
      <c r="I28" s="33">
        <f t="shared" ca="1" si="5"/>
        <v>27.710019958896623</v>
      </c>
      <c r="J28" s="33">
        <f t="shared" ca="1" si="5"/>
        <v>0.11630520258045063</v>
      </c>
      <c r="K28" s="33">
        <f t="shared" ca="1" si="5"/>
        <v>0.20738369265868661</v>
      </c>
      <c r="L28" s="33">
        <f t="shared" ca="1" si="5"/>
        <v>0.27633745530246079</v>
      </c>
      <c r="M28" s="33">
        <f t="shared" ca="1" si="5"/>
        <v>0.31147298904900578</v>
      </c>
      <c r="N28" s="33">
        <f t="shared" ca="1" si="5"/>
        <v>0.6267390512478197</v>
      </c>
      <c r="O28" s="33">
        <f t="shared" ca="1" si="5"/>
        <v>0.276054395960946</v>
      </c>
      <c r="P28" s="33">
        <f t="shared" ca="1" si="5"/>
        <v>0.23853934034653751</v>
      </c>
      <c r="Q28" s="33">
        <f t="shared" ca="1" si="5"/>
        <v>0.52160218232839661</v>
      </c>
      <c r="R28" s="33">
        <f t="shared" ca="1" si="5"/>
        <v>0.3026691882804734</v>
      </c>
      <c r="S28" s="33">
        <f t="shared" ca="1" si="5"/>
        <v>0.21544134293328654</v>
      </c>
      <c r="T28" s="33">
        <f t="shared" ca="1" si="5"/>
        <v>0.24198425322046035</v>
      </c>
      <c r="U28" s="33">
        <f t="shared" ca="1" si="5"/>
        <v>0.43197531771617154</v>
      </c>
      <c r="V28" s="33">
        <f t="shared" ca="1" si="5"/>
        <v>0.20027544383360843</v>
      </c>
      <c r="W28" s="33">
        <f t="shared" ca="1" si="5"/>
        <v>0.1636847195991043</v>
      </c>
      <c r="X28" s="33">
        <f t="shared" ca="1" si="5"/>
        <v>0.40777184131439209</v>
      </c>
      <c r="Y28" s="33">
        <f t="shared" ca="1" si="5"/>
        <v>0.20655557867165722</v>
      </c>
    </row>
    <row r="29" spans="2:27" ht="15" thickBot="1" x14ac:dyDescent="0.4"/>
    <row r="30" spans="2:27" ht="15.5" thickTop="1" thickBot="1" x14ac:dyDescent="0.4">
      <c r="C30" s="6" t="s">
        <v>20</v>
      </c>
      <c r="D30" s="7">
        <f>SUM(D25:Y25)</f>
        <v>0.99999998176591587</v>
      </c>
      <c r="E30" s="8" t="s">
        <v>21</v>
      </c>
      <c r="F30" s="9">
        <v>1</v>
      </c>
    </row>
    <row r="31" spans="2:27" ht="15" thickBot="1" x14ac:dyDescent="0.4">
      <c r="C31" s="6"/>
      <c r="D31" s="6"/>
      <c r="E31" s="6"/>
      <c r="F31" s="6"/>
      <c r="G31" s="6"/>
      <c r="H31" s="6"/>
      <c r="I31" s="6"/>
      <c r="J31" s="6"/>
      <c r="K31" s="6"/>
      <c r="L31" s="6"/>
      <c r="M31" s="6"/>
      <c r="N31" s="6"/>
      <c r="O31" s="6"/>
      <c r="P31" s="6"/>
      <c r="Q31" s="6"/>
      <c r="R31" s="6"/>
      <c r="S31" s="6"/>
      <c r="T31" t="s">
        <v>99</v>
      </c>
    </row>
    <row r="32" spans="2:27" ht="15.5" thickTop="1" thickBot="1" x14ac:dyDescent="0.4">
      <c r="C32" s="6" t="s">
        <v>22</v>
      </c>
      <c r="D32" s="10">
        <f ca="1">SUMPRODUCT(D25:Y25,D27:Y27)</f>
        <v>0.40000000000000008</v>
      </c>
      <c r="E32" s="8" t="s">
        <v>23</v>
      </c>
      <c r="F32" s="11">
        <v>0.39999999999999997</v>
      </c>
      <c r="K32" s="6"/>
      <c r="L32" s="6"/>
      <c r="M32" s="6"/>
      <c r="N32" s="6"/>
      <c r="O32" s="6"/>
      <c r="P32" s="6"/>
      <c r="Q32" s="38"/>
    </row>
    <row r="33" spans="1:30" ht="15" thickBot="1" x14ac:dyDescent="0.4">
      <c r="C33" s="6"/>
      <c r="E33" s="8"/>
      <c r="J33" s="12" t="s">
        <v>63</v>
      </c>
      <c r="K33" s="12" t="s">
        <v>24</v>
      </c>
      <c r="L33" s="13" t="s">
        <v>64</v>
      </c>
      <c r="M33" s="6"/>
      <c r="N33" s="6"/>
      <c r="O33" s="6"/>
      <c r="P33" s="6"/>
      <c r="Q33" s="38"/>
    </row>
    <row r="34" spans="1:30" ht="15.5" thickTop="1" thickBot="1" x14ac:dyDescent="0.4">
      <c r="C34" s="6" t="s">
        <v>25</v>
      </c>
      <c r="D34" s="39" cm="1">
        <f t="array" aca="1" ref="D34" ca="1">MMULT(D25:Y25,MMULT(D2:Y23,TRANSPOSE(D25:Y25)))</f>
        <v>66.645698262404125</v>
      </c>
      <c r="E34" s="8"/>
      <c r="G34" s="14" t="s">
        <v>26</v>
      </c>
      <c r="H34" s="40">
        <f ca="1">SQRT(D34)</f>
        <v>8.1636816610157048</v>
      </c>
      <c r="J34" s="35">
        <f ca="1">K34-H34</f>
        <v>-7.7636816610157044</v>
      </c>
      <c r="K34" s="35">
        <f ca="1">D32</f>
        <v>0.40000000000000008</v>
      </c>
      <c r="L34" s="35">
        <f ca="1">K34+H34</f>
        <v>8.5636816610157052</v>
      </c>
      <c r="Q34" s="38"/>
    </row>
    <row r="35" spans="1:30" ht="15" thickTop="1" x14ac:dyDescent="0.35">
      <c r="D35" s="20" t="str">
        <f ca="1">_xlfn.FORMULATEXT(D34)</f>
        <v>=MMULT(D25:Y25,MMULT(D2:Y23,TRANSPOSE(D25:Y25)))</v>
      </c>
      <c r="E35" s="8"/>
      <c r="H35" s="19" t="str">
        <f ca="1">_xlfn.FORMULATEXT(H34)</f>
        <v>=SQRT(D34)</v>
      </c>
      <c r="J35" s="16"/>
      <c r="Q35" s="38"/>
    </row>
    <row r="36" spans="1:30" x14ac:dyDescent="0.35">
      <c r="A36" s="1" t="s">
        <v>31</v>
      </c>
      <c r="B36" s="1"/>
      <c r="Q36" s="38"/>
    </row>
    <row r="37" spans="1:30" ht="44" thickBot="1" x14ac:dyDescent="0.4">
      <c r="A37" s="17" t="s">
        <v>27</v>
      </c>
      <c r="B37" s="17" t="s">
        <v>28</v>
      </c>
      <c r="C37" s="17" t="s">
        <v>29</v>
      </c>
      <c r="D37" s="1" t="s">
        <v>38</v>
      </c>
      <c r="E37" s="1" t="s">
        <v>39</v>
      </c>
      <c r="F37" s="1" t="s">
        <v>40</v>
      </c>
      <c r="G37" s="1" t="s">
        <v>41</v>
      </c>
      <c r="H37" s="37" t="s">
        <v>42</v>
      </c>
      <c r="I37" s="1" t="s">
        <v>43</v>
      </c>
      <c r="J37" s="1" t="s">
        <v>44</v>
      </c>
      <c r="K37" s="1" t="s">
        <v>45</v>
      </c>
      <c r="L37" s="1" t="s">
        <v>46</v>
      </c>
      <c r="M37" s="1" t="s">
        <v>47</v>
      </c>
      <c r="N37" s="1" t="s">
        <v>48</v>
      </c>
      <c r="O37" s="1" t="s">
        <v>49</v>
      </c>
      <c r="P37" s="1" t="s">
        <v>50</v>
      </c>
      <c r="Q37" s="1" t="s">
        <v>51</v>
      </c>
      <c r="R37" s="1" t="s">
        <v>52</v>
      </c>
      <c r="S37" s="1" t="s">
        <v>53</v>
      </c>
      <c r="T37" s="1" t="s">
        <v>54</v>
      </c>
      <c r="U37" s="37" t="s">
        <v>55</v>
      </c>
      <c r="V37" s="1" t="s">
        <v>56</v>
      </c>
      <c r="W37" s="1" t="s">
        <v>57</v>
      </c>
      <c r="X37" s="1" t="s">
        <v>58</v>
      </c>
      <c r="Y37" s="1" t="s">
        <v>59</v>
      </c>
      <c r="Z37" s="22" t="s">
        <v>60</v>
      </c>
      <c r="AA37" s="22" t="s">
        <v>61</v>
      </c>
      <c r="AB37" s="22" t="s">
        <v>62</v>
      </c>
      <c r="AD37" s="1" t="s">
        <v>30</v>
      </c>
    </row>
    <row r="38" spans="1:30" ht="15.5" thickTop="1" thickBot="1" x14ac:dyDescent="0.4">
      <c r="A38" s="18">
        <v>0.05</v>
      </c>
      <c r="B38" s="15">
        <v>7.5727787585798609E-2</v>
      </c>
      <c r="C38" s="10">
        <v>9.408712638856262E-2</v>
      </c>
      <c r="D38" s="5">
        <v>0.27687526486154013</v>
      </c>
      <c r="E38" s="5">
        <v>0</v>
      </c>
      <c r="F38" s="5">
        <v>3.6306193386805847E-3</v>
      </c>
      <c r="G38" s="5">
        <v>0</v>
      </c>
      <c r="H38" s="5">
        <v>3.4569382321683238E-2</v>
      </c>
      <c r="I38" s="5">
        <v>0</v>
      </c>
      <c r="J38" s="5">
        <v>9.1651450793843958E-2</v>
      </c>
      <c r="K38" s="5">
        <v>0.12148491018943235</v>
      </c>
      <c r="L38" s="5">
        <v>0.11949380767209689</v>
      </c>
      <c r="M38" s="5">
        <v>0</v>
      </c>
      <c r="N38" s="5">
        <v>0</v>
      </c>
      <c r="O38" s="5">
        <v>0</v>
      </c>
      <c r="P38" s="5">
        <v>2.2182841112200719E-2</v>
      </c>
      <c r="Q38" s="5">
        <v>0</v>
      </c>
      <c r="R38" s="5">
        <v>2.3273967844644548E-2</v>
      </c>
      <c r="S38" s="5">
        <v>0</v>
      </c>
      <c r="T38" s="5">
        <v>0</v>
      </c>
      <c r="U38" s="5">
        <v>0.16543062219590096</v>
      </c>
      <c r="V38" s="5">
        <v>6.4348082441559692E-2</v>
      </c>
      <c r="W38" s="5">
        <v>2.2599204593109493E-2</v>
      </c>
      <c r="X38" s="5">
        <v>0</v>
      </c>
      <c r="Y38" s="5">
        <v>5.445984728390578E-2</v>
      </c>
      <c r="Z38" s="35">
        <v>1.8359338802764011E-2</v>
      </c>
      <c r="AA38" s="35">
        <v>9.408712638856262E-2</v>
      </c>
      <c r="AB38" s="35">
        <v>0.16981491397436121</v>
      </c>
      <c r="AD38">
        <f>C38/B38</f>
        <v>1.2424385999916228</v>
      </c>
    </row>
    <row r="39" spans="1:30" ht="15.5" thickTop="1" thickBot="1" x14ac:dyDescent="0.4">
      <c r="A39" s="18">
        <v>0.1</v>
      </c>
      <c r="B39" s="15">
        <v>8.3233394374494299E-2</v>
      </c>
      <c r="C39" s="10">
        <v>9.9999999999968656E-2</v>
      </c>
      <c r="D39" s="5">
        <v>0.21238225671624636</v>
      </c>
      <c r="E39" s="5">
        <v>0</v>
      </c>
      <c r="F39" s="5">
        <v>3.6306451372023225E-3</v>
      </c>
      <c r="G39" s="5">
        <v>4.9994429480040091E-2</v>
      </c>
      <c r="H39" s="5">
        <v>3.4576858727742091E-2</v>
      </c>
      <c r="I39" s="5">
        <v>0</v>
      </c>
      <c r="J39" s="5">
        <v>9.1630932322823835E-2</v>
      </c>
      <c r="K39" s="5">
        <v>0.12148979957318951</v>
      </c>
      <c r="L39" s="5">
        <v>0.11981531713197677</v>
      </c>
      <c r="M39" s="5">
        <v>1.4063179290893535E-2</v>
      </c>
      <c r="N39" s="5">
        <v>0</v>
      </c>
      <c r="O39" s="5">
        <v>0</v>
      </c>
      <c r="P39" s="5">
        <v>2.2180274901522051E-2</v>
      </c>
      <c r="Q39" s="5">
        <v>0</v>
      </c>
      <c r="R39" s="5">
        <v>2.3272849074228257E-2</v>
      </c>
      <c r="S39" s="5">
        <v>0</v>
      </c>
      <c r="T39" s="5">
        <v>0</v>
      </c>
      <c r="U39" s="5">
        <v>0.16542314127225791</v>
      </c>
      <c r="V39" s="5">
        <v>6.436821399924321E-2</v>
      </c>
      <c r="W39" s="5">
        <v>2.2601557379500398E-2</v>
      </c>
      <c r="X39" s="5">
        <v>0</v>
      </c>
      <c r="Y39" s="5">
        <v>5.4570544993148298E-2</v>
      </c>
      <c r="Z39" s="35">
        <v>1.6766605625474357E-2</v>
      </c>
      <c r="AA39" s="35">
        <v>9.9999999999968656E-2</v>
      </c>
      <c r="AB39" s="35">
        <v>0.18323339437446295</v>
      </c>
      <c r="AD39">
        <f t="shared" ref="AD39:AD45" si="6">C39/B39</f>
        <v>1.201440848970257</v>
      </c>
    </row>
    <row r="40" spans="1:30" ht="15.5" thickTop="1" thickBot="1" x14ac:dyDescent="0.4">
      <c r="A40" s="18">
        <v>0.15000000000000002</v>
      </c>
      <c r="B40" s="15">
        <v>0.30710895085934398</v>
      </c>
      <c r="C40" s="10">
        <v>0.14999999019627602</v>
      </c>
      <c r="D40" s="5">
        <v>1.8432885617431075E-3</v>
      </c>
      <c r="E40" s="5">
        <v>0</v>
      </c>
      <c r="F40" s="5">
        <v>0</v>
      </c>
      <c r="G40" s="5">
        <v>0.14474816206263072</v>
      </c>
      <c r="H40" s="5">
        <v>5.8495661134879307E-2</v>
      </c>
      <c r="I40" s="5">
        <v>2.9461435598340494E-3</v>
      </c>
      <c r="J40" s="5">
        <v>0</v>
      </c>
      <c r="K40" s="5">
        <v>0</v>
      </c>
      <c r="L40" s="5">
        <v>1.4940796574010851E-3</v>
      </c>
      <c r="M40" s="5">
        <v>1.6959376388290544E-2</v>
      </c>
      <c r="N40" s="5">
        <v>0</v>
      </c>
      <c r="O40" s="5">
        <v>0</v>
      </c>
      <c r="P40" s="5">
        <v>0</v>
      </c>
      <c r="Q40" s="5">
        <v>0</v>
      </c>
      <c r="R40" s="5">
        <v>4.6268646796624267E-3</v>
      </c>
      <c r="S40" s="5">
        <v>0</v>
      </c>
      <c r="T40" s="5">
        <v>4.6071153511096821E-2</v>
      </c>
      <c r="U40" s="5">
        <v>0.14150433886512037</v>
      </c>
      <c r="V40" s="5">
        <v>0</v>
      </c>
      <c r="W40" s="5">
        <v>1.2079886677786316E-2</v>
      </c>
      <c r="X40" s="5">
        <v>0.52093965808026199</v>
      </c>
      <c r="Y40" s="5">
        <v>4.8291382875357808E-2</v>
      </c>
      <c r="Z40" s="35">
        <v>-0.15710896066306795</v>
      </c>
      <c r="AA40" s="35">
        <v>0.14999999019627602</v>
      </c>
      <c r="AB40" s="35">
        <v>0.45710894105562</v>
      </c>
      <c r="AD40">
        <f t="shared" si="6"/>
        <v>0.48842597969401447</v>
      </c>
    </row>
    <row r="41" spans="1:30" ht="15.5" thickTop="1" thickBot="1" x14ac:dyDescent="0.4">
      <c r="A41" s="18">
        <v>0.2</v>
      </c>
      <c r="B41" s="15">
        <v>1.6482269205464462</v>
      </c>
      <c r="C41" s="10">
        <v>0.17277737567850457</v>
      </c>
      <c r="D41" s="5">
        <v>1.8414533755923804E-3</v>
      </c>
      <c r="E41" s="5">
        <v>0</v>
      </c>
      <c r="F41" s="5">
        <v>0.50695691912375151</v>
      </c>
      <c r="G41" s="5">
        <v>0.16018459813298569</v>
      </c>
      <c r="H41" s="5">
        <v>5.9529194934206622E-2</v>
      </c>
      <c r="I41" s="5">
        <v>3.0188732259146629E-3</v>
      </c>
      <c r="J41" s="5">
        <v>0</v>
      </c>
      <c r="K41" s="5">
        <v>0</v>
      </c>
      <c r="L41" s="5">
        <v>1.4935723660245179E-3</v>
      </c>
      <c r="M41" s="5">
        <v>1.6928029828481191E-2</v>
      </c>
      <c r="N41" s="5">
        <v>0</v>
      </c>
      <c r="O41" s="5">
        <v>0</v>
      </c>
      <c r="P41" s="5">
        <v>0</v>
      </c>
      <c r="Q41" s="5">
        <v>0</v>
      </c>
      <c r="R41" s="5">
        <v>4.6122837302968109E-3</v>
      </c>
      <c r="S41" s="5">
        <v>0</v>
      </c>
      <c r="T41" s="5">
        <v>4.5377217534374827E-2</v>
      </c>
      <c r="U41" s="5">
        <v>0.14047104506579974</v>
      </c>
      <c r="V41" s="5">
        <v>7.9594536020807116E-8</v>
      </c>
      <c r="W41" s="5">
        <v>1.2010917945687387E-2</v>
      </c>
      <c r="X41" s="5">
        <v>0</v>
      </c>
      <c r="Y41" s="5">
        <v>4.7575911903319869E-2</v>
      </c>
      <c r="Z41" s="35">
        <v>-1.4754495448679417</v>
      </c>
      <c r="AA41" s="35">
        <v>0.17277737567850457</v>
      </c>
      <c r="AB41" s="35">
        <v>1.8210042962249506</v>
      </c>
      <c r="AD41">
        <f t="shared" si="6"/>
        <v>0.10482620658884924</v>
      </c>
    </row>
    <row r="42" spans="1:30" ht="15.5" thickTop="1" thickBot="1" x14ac:dyDescent="0.4">
      <c r="A42" s="18">
        <v>0.25</v>
      </c>
      <c r="B42" s="15">
        <v>1.5392096203174035</v>
      </c>
      <c r="C42" s="10">
        <v>0.24999999968136585</v>
      </c>
      <c r="D42" s="5">
        <v>0</v>
      </c>
      <c r="E42" s="5">
        <v>0</v>
      </c>
      <c r="F42" s="5">
        <v>0</v>
      </c>
      <c r="G42" s="5">
        <v>0</v>
      </c>
      <c r="H42" s="5">
        <v>0.95106474027505239</v>
      </c>
      <c r="I42" s="5">
        <v>4.8935159846051408E-2</v>
      </c>
      <c r="J42" s="5">
        <v>0</v>
      </c>
      <c r="K42" s="5">
        <v>0</v>
      </c>
      <c r="L42" s="5">
        <v>0</v>
      </c>
      <c r="M42" s="5">
        <v>0</v>
      </c>
      <c r="N42" s="5">
        <v>0</v>
      </c>
      <c r="O42" s="5">
        <v>0</v>
      </c>
      <c r="P42" s="5">
        <v>0</v>
      </c>
      <c r="Q42" s="5">
        <v>0</v>
      </c>
      <c r="R42" s="5">
        <v>0</v>
      </c>
      <c r="S42" s="5">
        <v>0</v>
      </c>
      <c r="T42" s="5">
        <v>0</v>
      </c>
      <c r="U42" s="5">
        <v>0</v>
      </c>
      <c r="V42" s="5">
        <v>7.9594536020807116E-8</v>
      </c>
      <c r="W42" s="5">
        <v>0</v>
      </c>
      <c r="X42" s="5">
        <v>0</v>
      </c>
      <c r="Y42" s="5">
        <v>0</v>
      </c>
      <c r="Z42" s="35">
        <v>-1.2892096206360377</v>
      </c>
      <c r="AA42" s="35">
        <v>0.24999999968136585</v>
      </c>
      <c r="AB42" s="35">
        <v>1.7892096199987693</v>
      </c>
      <c r="AD42">
        <f t="shared" si="6"/>
        <v>0.16242102205014342</v>
      </c>
    </row>
    <row r="43" spans="1:30" ht="15.5" thickTop="1" thickBot="1" x14ac:dyDescent="0.4">
      <c r="A43" s="18">
        <v>0.3</v>
      </c>
      <c r="B43" s="15">
        <v>3.6986188541211815</v>
      </c>
      <c r="C43" s="10">
        <v>0.30000000000000004</v>
      </c>
      <c r="D43" s="5">
        <v>0</v>
      </c>
      <c r="E43" s="5">
        <v>0</v>
      </c>
      <c r="F43" s="5">
        <v>0</v>
      </c>
      <c r="G43" s="5">
        <v>0</v>
      </c>
      <c r="H43" s="5">
        <v>0.86977714672616013</v>
      </c>
      <c r="I43" s="5">
        <v>0.13022275522333956</v>
      </c>
      <c r="J43" s="5">
        <v>0</v>
      </c>
      <c r="K43" s="5">
        <v>0</v>
      </c>
      <c r="L43" s="5">
        <v>0</v>
      </c>
      <c r="M43" s="5">
        <v>0</v>
      </c>
      <c r="N43" s="5">
        <v>0</v>
      </c>
      <c r="O43" s="5">
        <v>0</v>
      </c>
      <c r="P43" s="5">
        <v>0</v>
      </c>
      <c r="Q43" s="5">
        <v>0</v>
      </c>
      <c r="R43" s="5">
        <v>0</v>
      </c>
      <c r="S43" s="5">
        <v>0</v>
      </c>
      <c r="T43" s="5">
        <v>0</v>
      </c>
      <c r="U43" s="5">
        <v>0</v>
      </c>
      <c r="V43" s="5">
        <v>7.9594536020807116E-8</v>
      </c>
      <c r="W43" s="5">
        <v>0</v>
      </c>
      <c r="X43" s="5">
        <v>0</v>
      </c>
      <c r="Y43" s="5">
        <v>0</v>
      </c>
      <c r="Z43" s="35">
        <v>-3.3986188541211817</v>
      </c>
      <c r="AA43" s="35">
        <v>0.30000000000000004</v>
      </c>
      <c r="AB43" s="35">
        <v>3.9986188541211813</v>
      </c>
      <c r="AD43">
        <f t="shared" si="6"/>
        <v>8.1111358545562326E-2</v>
      </c>
    </row>
    <row r="44" spans="1:30" ht="15.5" thickTop="1" thickBot="1" x14ac:dyDescent="0.4">
      <c r="A44" s="18">
        <v>0.35</v>
      </c>
      <c r="B44" s="15">
        <v>5.9249718961165074</v>
      </c>
      <c r="C44" s="10">
        <v>0.35</v>
      </c>
      <c r="D44" s="5">
        <v>0</v>
      </c>
      <c r="E44" s="5">
        <v>0</v>
      </c>
      <c r="F44" s="5">
        <v>0</v>
      </c>
      <c r="G44" s="5">
        <v>0</v>
      </c>
      <c r="H44" s="5">
        <v>0.78848955288713118</v>
      </c>
      <c r="I44" s="5">
        <v>0.2115103502954383</v>
      </c>
      <c r="J44" s="5">
        <v>0</v>
      </c>
      <c r="K44" s="5">
        <v>0</v>
      </c>
      <c r="L44" s="5">
        <v>0</v>
      </c>
      <c r="M44" s="5">
        <v>0</v>
      </c>
      <c r="N44" s="5">
        <v>0</v>
      </c>
      <c r="O44" s="5">
        <v>0</v>
      </c>
      <c r="P44" s="5">
        <v>0</v>
      </c>
      <c r="Q44" s="5">
        <v>0</v>
      </c>
      <c r="R44" s="5">
        <v>0</v>
      </c>
      <c r="S44" s="5">
        <v>0</v>
      </c>
      <c r="T44" s="5">
        <v>0</v>
      </c>
      <c r="U44" s="5">
        <v>0</v>
      </c>
      <c r="V44" s="5">
        <v>7.9594536020807116E-8</v>
      </c>
      <c r="W44" s="5">
        <v>0</v>
      </c>
      <c r="X44" s="5">
        <v>0</v>
      </c>
      <c r="Y44" s="5">
        <v>0</v>
      </c>
      <c r="Z44" s="35">
        <v>-5.5749718961165078</v>
      </c>
      <c r="AA44" s="35">
        <v>0.35</v>
      </c>
      <c r="AB44" s="35">
        <v>6.2749718961165071</v>
      </c>
      <c r="AD44">
        <f t="shared" si="6"/>
        <v>5.907201015238666E-2</v>
      </c>
    </row>
    <row r="45" spans="1:30" ht="15.5" thickTop="1" thickBot="1" x14ac:dyDescent="0.4">
      <c r="A45" s="18">
        <v>0.39999999999999997</v>
      </c>
      <c r="B45" s="15">
        <v>8.1636816610157048</v>
      </c>
      <c r="C45" s="10">
        <v>0.40000000000000008</v>
      </c>
      <c r="D45" s="5">
        <v>0</v>
      </c>
      <c r="E45" s="5">
        <v>0</v>
      </c>
      <c r="F45" s="5">
        <v>0</v>
      </c>
      <c r="G45" s="5">
        <v>0</v>
      </c>
      <c r="H45" s="5">
        <v>0.70720195600151348</v>
      </c>
      <c r="I45" s="5">
        <v>0.29279794616986632</v>
      </c>
      <c r="J45" s="5">
        <v>0</v>
      </c>
      <c r="K45" s="5">
        <v>0</v>
      </c>
      <c r="L45" s="5">
        <v>0</v>
      </c>
      <c r="M45" s="5">
        <v>0</v>
      </c>
      <c r="N45" s="5">
        <v>0</v>
      </c>
      <c r="O45" s="5">
        <v>0</v>
      </c>
      <c r="P45" s="5">
        <v>0</v>
      </c>
      <c r="Q45" s="5">
        <v>0</v>
      </c>
      <c r="R45" s="5">
        <v>0</v>
      </c>
      <c r="S45" s="5">
        <v>0</v>
      </c>
      <c r="T45" s="5">
        <v>0</v>
      </c>
      <c r="U45" s="5">
        <v>0</v>
      </c>
      <c r="V45" s="5">
        <v>7.9594536020807116E-8</v>
      </c>
      <c r="W45" s="5">
        <v>0</v>
      </c>
      <c r="X45" s="5">
        <v>0</v>
      </c>
      <c r="Y45" s="5">
        <v>0</v>
      </c>
      <c r="Z45" s="35">
        <v>-7.7636816610157044</v>
      </c>
      <c r="AA45" s="35">
        <v>0.40000000000000008</v>
      </c>
      <c r="AB45" s="35">
        <v>8.5636816610157052</v>
      </c>
      <c r="AD45">
        <f t="shared" si="6"/>
        <v>4.8997500957213107E-2</v>
      </c>
    </row>
    <row r="46" spans="1:30" x14ac:dyDescent="0.35">
      <c r="A46" s="18"/>
      <c r="AD46" s="16"/>
    </row>
    <row r="48" spans="1:30" x14ac:dyDescent="0.35">
      <c r="B48" t="s">
        <v>101</v>
      </c>
    </row>
    <row r="59" spans="3:3" x14ac:dyDescent="0.35">
      <c r="C59" s="16"/>
    </row>
    <row r="60" spans="3:3" x14ac:dyDescent="0.35">
      <c r="C60" s="16"/>
    </row>
    <row r="61" spans="3:3" x14ac:dyDescent="0.35">
      <c r="C61" s="16"/>
    </row>
    <row r="62" spans="3:3" x14ac:dyDescent="0.35">
      <c r="C62" s="16"/>
    </row>
    <row r="63" spans="3:3" x14ac:dyDescent="0.35">
      <c r="C63" s="16"/>
    </row>
    <row r="64" spans="3:3" x14ac:dyDescent="0.35">
      <c r="C64" s="16"/>
    </row>
  </sheetData>
  <mergeCells count="3">
    <mergeCell ref="A7:B7"/>
    <mergeCell ref="A8:B8"/>
    <mergeCell ref="A9:B9"/>
  </mergeCells>
  <conditionalFormatting sqref="C59:C64 AD38:AD46">
    <cfRule type="colorScale" priority="1">
      <colorScale>
        <cfvo type="min"/>
        <cfvo type="percentile" val="50"/>
        <cfvo type="max"/>
        <color rgb="FF63BE7B"/>
        <color rgb="FFFFEB84"/>
        <color rgb="FFF8696B"/>
      </colorScale>
    </cfRule>
  </conditionalFormatting>
  <conditionalFormatting sqref="D2:AA21 D23:AA23 D22:Z22">
    <cfRule type="colorScale" priority="3">
      <colorScale>
        <cfvo type="min"/>
        <cfvo type="percentile" val="50"/>
        <cfvo type="max"/>
        <color rgb="FF5A8AC6"/>
        <color rgb="FFFCFCFF"/>
        <color rgb="FFF8696B"/>
      </colorScale>
    </cfRule>
  </conditionalFormatting>
  <pageMargins left="0.7" right="0.7" top="0.75" bottom="0.75" header="0.3" footer="0.3"/>
  <pageSetup orientation="portrait"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24</vt:i4>
      </vt:variant>
    </vt:vector>
  </HeadingPairs>
  <TitlesOfParts>
    <vt:vector size="28" baseType="lpstr">
      <vt:lpstr>Problem Statement</vt:lpstr>
      <vt:lpstr>Correlation</vt:lpstr>
      <vt:lpstr>Data</vt:lpstr>
      <vt:lpstr>Optimizer</vt:lpstr>
      <vt:lpstr>_10YRT.Bond</vt:lpstr>
      <vt:lpstr>_3MO_T.Bill</vt:lpstr>
      <vt:lpstr>ABT</vt:lpstr>
      <vt:lpstr>ADI</vt:lpstr>
      <vt:lpstr>APPLE</vt:lpstr>
      <vt:lpstr>Bitcoin</vt:lpstr>
      <vt:lpstr>CATTLE</vt:lpstr>
      <vt:lpstr>CORN</vt:lpstr>
      <vt:lpstr>CRUDE</vt:lpstr>
      <vt:lpstr>DIS</vt:lpstr>
      <vt:lpstr>FORD</vt:lpstr>
      <vt:lpstr>GE</vt:lpstr>
      <vt:lpstr>GOLD</vt:lpstr>
      <vt:lpstr>INTC</vt:lpstr>
      <vt:lpstr>JPM</vt:lpstr>
      <vt:lpstr>KO</vt:lpstr>
      <vt:lpstr>MCD</vt:lpstr>
      <vt:lpstr>MSFT</vt:lpstr>
      <vt:lpstr>NSDQ</vt:lpstr>
      <vt:lpstr>OGE</vt:lpstr>
      <vt:lpstr>PG</vt:lpstr>
      <vt:lpstr>S_P500</vt:lpstr>
      <vt:lpstr>WMT</vt:lpstr>
      <vt:lpstr>XOM</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Oz</dc:creator>
  <cp:lastModifiedBy>Abe Zaidman</cp:lastModifiedBy>
  <dcterms:created xsi:type="dcterms:W3CDTF">2016-10-21T04:24:11Z</dcterms:created>
  <dcterms:modified xsi:type="dcterms:W3CDTF">2023-05-24T21:59:49Z</dcterms:modified>
</cp:coreProperties>
</file>